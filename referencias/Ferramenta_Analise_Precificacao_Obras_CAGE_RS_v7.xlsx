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fazrsgov-my.sharepoint.com/personal/brunodp_sefaz_rs_gov_br/Documents/2026/GT PPP/Entregas/3D/"/>
    </mc:Choice>
  </mc:AlternateContent>
  <xr:revisionPtr revIDLastSave="0" documentId="8_{F639BE0E-23EF-4F93-875B-4D61504B9EE2}" xr6:coauthVersionLast="47" xr6:coauthVersionMax="47" xr10:uidLastSave="{00000000-0000-0000-0000-000000000000}"/>
  <bookViews>
    <workbookView xWindow="-108" yWindow="-108" windowWidth="23256" windowHeight="12456" tabRatio="500" activeTab="10" xr2:uid="{00000000-000D-0000-FFFF-FFFF00000000}"/>
  </bookViews>
  <sheets>
    <sheet name="Instruções" sheetId="1" r:id="rId1"/>
    <sheet name="0. Capa" sheetId="2" r:id="rId2"/>
    <sheet name="1. Identificação" sheetId="3" r:id="rId3"/>
    <sheet name="2. Metodologia" sheetId="4" r:id="rId4"/>
    <sheet name="3. Referências" sheetId="5" r:id="rId5"/>
    <sheet name="4. Componentes" sheetId="6" r:id="rId6"/>
    <sheet name="5. Justificativa" sheetId="7" r:id="rId7"/>
    <sheet name="6. Análise Crítica" sheetId="8" r:id="rId8"/>
    <sheet name="7. Síntese" sheetId="9" r:id="rId9"/>
    <sheet name="8. Relatório" sheetId="10" r:id="rId10"/>
    <sheet name="9. Dashboard" sheetId="11" r:id="rId11"/>
  </sheets>
  <definedNames>
    <definedName name="_xlnm.Print_Area" localSheetId="10">'9. Dashboard'!$B$6:$H$70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7" i="11" l="1"/>
  <c r="G57" i="11"/>
  <c r="F57" i="11"/>
  <c r="B57" i="11"/>
  <c r="F33" i="11"/>
  <c r="C33" i="11"/>
  <c r="F24" i="11"/>
  <c r="F23" i="11"/>
  <c r="E23" i="11"/>
  <c r="D23" i="11"/>
  <c r="D24" i="11" s="1"/>
  <c r="C23" i="11"/>
  <c r="F22" i="11"/>
  <c r="E22" i="11"/>
  <c r="D22" i="11"/>
  <c r="C22" i="11"/>
  <c r="G22" i="11" s="1"/>
  <c r="G21" i="11"/>
  <c r="F21" i="11"/>
  <c r="E21" i="11"/>
  <c r="D21" i="11"/>
  <c r="C21" i="11"/>
  <c r="F20" i="11"/>
  <c r="E20" i="11"/>
  <c r="E24" i="11" s="1"/>
  <c r="D20" i="11"/>
  <c r="C20" i="11"/>
  <c r="C24" i="11" s="1"/>
  <c r="F12" i="11"/>
  <c r="D12" i="11"/>
  <c r="F11" i="11"/>
  <c r="B36" i="10"/>
  <c r="B33" i="10"/>
  <c r="B30" i="10"/>
  <c r="B27" i="10"/>
  <c r="B24" i="10"/>
  <c r="B21" i="10"/>
  <c r="B18" i="10"/>
  <c r="B15" i="10"/>
  <c r="B12" i="10"/>
  <c r="C27" i="9"/>
  <c r="B11" i="11" s="1"/>
  <c r="C26" i="9"/>
  <c r="F30" i="11" s="1"/>
  <c r="C25" i="9"/>
  <c r="F31" i="11" s="1"/>
  <c r="C24" i="9"/>
  <c r="F32" i="11" s="1"/>
  <c r="C23" i="9"/>
  <c r="H12" i="11" s="1"/>
  <c r="C22" i="9"/>
  <c r="C31" i="11" s="1"/>
  <c r="C21" i="9"/>
  <c r="D11" i="11" s="1"/>
  <c r="C17" i="9"/>
  <c r="C16" i="9"/>
  <c r="C15" i="9"/>
  <c r="C14" i="9"/>
  <c r="C13" i="9"/>
  <c r="C12" i="9"/>
  <c r="C11" i="9"/>
  <c r="C10" i="9"/>
  <c r="C20" i="7"/>
  <c r="C19" i="7"/>
  <c r="C18" i="7"/>
  <c r="C17" i="7"/>
  <c r="C16" i="7"/>
  <c r="C15" i="7"/>
  <c r="C14" i="7"/>
  <c r="C13" i="7"/>
  <c r="C12" i="7" a="1"/>
  <c r="C12" i="7" s="1"/>
  <c r="C11" i="7" a="1"/>
  <c r="C11" i="7" s="1"/>
  <c r="E40" i="6"/>
  <c r="D40" i="6"/>
  <c r="C40" i="6"/>
  <c r="C23" i="4"/>
  <c r="C20" i="9" s="1"/>
  <c r="C30" i="11" l="1"/>
  <c r="B40" i="10"/>
  <c r="G20" i="11"/>
  <c r="C32" i="11"/>
  <c r="G23" i="11"/>
  <c r="H11" i="11"/>
  <c r="G24" i="11" l="1"/>
</calcChain>
</file>

<file path=xl/sharedStrings.xml><?xml version="1.0" encoding="utf-8"?>
<sst xmlns="http://schemas.openxmlformats.org/spreadsheetml/2006/main" count="354" uniqueCount="308">
  <si>
    <t>INSTRUÇÕES DE USO</t>
  </si>
  <si>
    <t>FINALIDADE</t>
  </si>
  <si>
    <t>Ferramenta elaborada para apoiar a análise técnica da precificação de obras em estudos, modelagens, projetos, editais ou contratos.</t>
  </si>
  <si>
    <t>Não se destina a um único projeto e serve como base padronizada.</t>
  </si>
  <si>
    <t>FLUXO DE PREENCHIMENTO</t>
  </si>
  <si>
    <t>1. Aba 0 (Capa) — identificação do preenchimento: caso analisado, analista, data.</t>
  </si>
  <si>
    <t>2. Aba 1 (Identificação) — cadastro dos dados do projeto, órgão, modalidade, fase e documentos examinados.</t>
  </si>
  <si>
    <t>3. Aba 2 (Metodologia) — metodologias utilizadas e registre parâmetros (data-base, regionalização, atualização, composições, fatores adicionais).</t>
  </si>
  <si>
    <t>4. Aba 3 (Referências) — referência de preços identificadas e adequação ao objeto.</t>
  </si>
  <si>
    <t>5. Aba 4 (Componentes) — métricas globais (valor total, m², BDI) e as parcelas do custo.</t>
  </si>
  <si>
    <t>6. Aba 5 (Justificativa) — síntese da justificativas identificadas e avaliação de qualidade.</t>
  </si>
  <si>
    <t>7. Aba 6 (Análise Crítica) — checklist avaliativo de maturidade metodológica.</t>
  </si>
  <si>
    <t>8. Aba 7 (Síntese) — elaboração da síntese interpretativa e do parecer global.</t>
  </si>
  <si>
    <t>9. Aba 8 (Relatório) — texto gerado serve como base para o relatório.</t>
  </si>
  <si>
    <t>CAMPOS OBRIGATÓRIOS</t>
  </si>
  <si>
    <t>Os campos em fundo amarelo indicam preenchimento obrigatório.</t>
  </si>
  <si>
    <t>Campos com lista suspensa devem ser preenchidos selecionando uma das opções disponíveis.</t>
  </si>
  <si>
    <t>USO DAS FÓRMULAS</t>
  </si>
  <si>
    <t>Não altere as fórmulas; se precisar adaptar, faça-o em cópia do arquivo para preservar o modelo.</t>
  </si>
  <si>
    <t>BOAS PRÁTICAS</t>
  </si>
  <si>
    <t>Preencha seções descritivas com frases objetivas e claras, pois o texto segue para o relatório automatizado.</t>
  </si>
  <si>
    <t>Indique sempre a fonte documental das informações (processo, página, item) para rastreabilidade.</t>
  </si>
  <si>
    <t>Ao concluir, revise a aba 8 e edite livremente o texto-base antes da emissão do relatório.</t>
  </si>
  <si>
    <t>Salve o arquivo preenchido com identificação do caso (ex.: precificacao_obras_&lt;projeto&gt;_&lt;data&gt;.xlsx).</t>
  </si>
  <si>
    <t>APROVEITAMENTO PARA O RELATÓRIO</t>
  </si>
  <si>
    <t>O texto da aba 8 contempla: identificação do caso, metodologia, referências, parâmetros, justificativa, análise crítica, fragilidades, recomendações e conclusão.</t>
  </si>
  <si>
    <t>Os indicadores automatizados (conformidade e risco) podem ser utilizados como anexo ao parecer.</t>
  </si>
  <si>
    <t>MANUTENÇÃO DA FERRAMENTA</t>
  </si>
  <si>
    <t>Recomenda-se revisão periódica da ferramenta para incorporar melhorias.</t>
  </si>
  <si>
    <t>REFERÊNCIAS NORMATIVAS E TÉCNICAS</t>
  </si>
  <si>
    <t xml:space="preserve">- Lei federal nº 14.133/2021 (Nova Lei de Licitações e Contratos Administrativos); 
- Lei federal nº 11.079/2004 (institui normas gerais para licitação e contratação de parceria público-privada); 
- Lei estadual nº 12.234/2005 (institui o Programa de Parcerias Público-Privadas do Estado do Rio Grande do Sul); 
- Acórdãos do Tribunal de Contas da União sobre BDI e orçamentação de obras públicas, com destaque para o Acórdão nº 2.622/2013 - Plenário (parâmetros de BDI por tipologia de obra) e o Acórdão nº 2.369/2011 - Plenário; 
- Manual de Metodologias e Conceitos do SINAPI (Sistema Nacional de Pesquisa de Custos e Índices da Construção Civil, mantido pela Caixa Econômica Federal e IBGE); e
- Manual de Custos de Infraestrutura de Transportes do DNIT (SICRO — Sistema de Custos Referenciais de Obras).
</t>
  </si>
  <si>
    <t>ANÁLISE DE PRECIFICAÇÃO DE OBRAS</t>
  </si>
  <si>
    <t>Checklist e Roteiro Analítico para Avaliação Técnica de Precificação em Projetos, Modelagens, Editais e Contratos</t>
  </si>
  <si>
    <t>IDENTIFICAÇÃO DO PREENCHIMENTO</t>
  </si>
  <si>
    <t>Obra/Projeto analisado:</t>
  </si>
  <si>
    <t>Órgão/Entidade responsável:</t>
  </si>
  <si>
    <t>Responsável(is) pela Análise:</t>
  </si>
  <si>
    <t>Unidade:</t>
  </si>
  <si>
    <t>Data de início da análise:</t>
  </si>
  <si>
    <t>Data de conclusão da análise:</t>
  </si>
  <si>
    <t>Versão do preenchimento:</t>
  </si>
  <si>
    <t>SUMÁRIO DA FERRAMENTA</t>
  </si>
  <si>
    <t>Aba 1</t>
  </si>
  <si>
    <t>Identificação do caso analisado</t>
  </si>
  <si>
    <t>Aba 2</t>
  </si>
  <si>
    <t>Metodologia de precificação</t>
  </si>
  <si>
    <t>Aba 3</t>
  </si>
  <si>
    <t>Referências e bases de preços</t>
  </si>
  <si>
    <t>Aba 4</t>
  </si>
  <si>
    <t>Parâmetros e componentes do custo</t>
  </si>
  <si>
    <t>Aba 5</t>
  </si>
  <si>
    <t>Justificativa técnica</t>
  </si>
  <si>
    <t>Aba 6</t>
  </si>
  <si>
    <t>Análise crítica da consistência</t>
  </si>
  <si>
    <t>Aba 7</t>
  </si>
  <si>
    <t>Síntese conclusiva</t>
  </si>
  <si>
    <t>Aba 8</t>
  </si>
  <si>
    <t>Relatório automatizado (base)</t>
  </si>
  <si>
    <t>LEGENDA DE CORES</t>
  </si>
  <si>
    <t>Campo de preenchimento</t>
  </si>
  <si>
    <t>Conformidade</t>
  </si>
  <si>
    <t>Ressalva</t>
  </si>
  <si>
    <t>Risco ou fragilidade</t>
  </si>
  <si>
    <t>ABA 1 — IDENTIFICAÇÃO DO CASO ANALISADO</t>
  </si>
  <si>
    <t>Registro dos dados básicos do objeto submetido à análise. Campos em amarelo são de preenchimento obrigatório.</t>
  </si>
  <si>
    <t>1.1 IDENTIFICAÇÃO GERAL</t>
  </si>
  <si>
    <t>Nome do projeto / estudo / contratação:</t>
  </si>
  <si>
    <t>Objeto resumido:</t>
  </si>
  <si>
    <t>Órgão ou entidade responsável:</t>
  </si>
  <si>
    <t>Unidade demandante / requisitante:</t>
  </si>
  <si>
    <t>Número do processo / expediente (PROA,SEI,...):</t>
  </si>
  <si>
    <t>Modalidade contratual (PPP, concessão, obra direta, RDC,...):</t>
  </si>
  <si>
    <t>1.2 CARACTERIZAÇÃO DO OBJETO</t>
  </si>
  <si>
    <t>Tipo de empreendimento (setor / função):</t>
  </si>
  <si>
    <t>Natureza:</t>
  </si>
  <si>
    <t>Área estimada (m²):</t>
  </si>
  <si>
    <t>Valor total da obra no documento analisado (R$):</t>
  </si>
  <si>
    <t>Prazo estimado de execução:</t>
  </si>
  <si>
    <t>Localização:</t>
  </si>
  <si>
    <t>1.3 FASE E FONTE DOCUMENTAL</t>
  </si>
  <si>
    <t>Fase do projeto analisada:</t>
  </si>
  <si>
    <t>Documentos analisados (referências):</t>
  </si>
  <si>
    <t>Data-base dos preços:</t>
  </si>
  <si>
    <t>Documento de origem da memória de cálculo:</t>
  </si>
  <si>
    <t>Responsável técnico pela precificação (se identificado):</t>
  </si>
  <si>
    <t>Existe ART/RRT anexado ou referenciado? (Detalhar)</t>
  </si>
  <si>
    <t>1.4 OBSERVAÇÕES PRELIMINARES</t>
  </si>
  <si>
    <t>Observações/contexto relevante para a análise:</t>
  </si>
  <si>
    <t>ABA 2 — METODOLOGIA DE PRECIFICAÇÃO</t>
  </si>
  <si>
    <t>Registro das metodologias utilizadas para mensurar o valor das obras: bases de preços, data-base, regionalização, atualização monetária, benchmarks, composições unitárias ou fatores adicionais.</t>
  </si>
  <si>
    <t>2.1 METODOLOGIAS UTILIZADAS (assinalar todas as aplicáveis)</t>
  </si>
  <si>
    <t>Metodologia / Referência</t>
  </si>
  <si>
    <t>Utilizada?</t>
  </si>
  <si>
    <t>Detalhamento (base, versão, local aplicado)</t>
  </si>
  <si>
    <t>Observações críticas</t>
  </si>
  <si>
    <t>SINAPI — Sistema Nacional de Pesquisa de Custos e Índices</t>
  </si>
  <si>
    <t>SICRO — Sistema de Custos Referenciais de Obras (DNIT)</t>
  </si>
  <si>
    <t>CUB/SINDUSCON — Custo Unitário Básico da Construção</t>
  </si>
  <si>
    <t>Composições próprias do órgão/ente</t>
  </si>
  <si>
    <t>Valores de contratações similares (preços contratados)</t>
  </si>
  <si>
    <t>Cotações de mercado (coletas de preços)</t>
  </si>
  <si>
    <t>Orçamento consultivo / consultoria especializada</t>
  </si>
  <si>
    <t>Sistema interno do órgão (base própria)</t>
  </si>
  <si>
    <t>Benchmark setorial / estudos de referência</t>
  </si>
  <si>
    <t>Metodologia híbrida (combinação)</t>
  </si>
  <si>
    <t>Outra metodologia (detalhar)</t>
  </si>
  <si>
    <t>Total de metodologias marcadas como 'Sim':</t>
  </si>
  <si>
    <t>2.2 PARÂMETROS METODOLÓGICOS APLICADOS</t>
  </si>
  <si>
    <t>Houve regionalização dos preços?</t>
  </si>
  <si>
    <t>Qual o estado/região adotado como referência?</t>
  </si>
  <si>
    <t>Houve atualização monetária dos preços?</t>
  </si>
  <si>
    <t>Qual índice de atualização adotado (IPCA, INCC, IGP-M, etc.)?</t>
  </si>
  <si>
    <t>Foram utilizados benchmarks de contratações similares?</t>
  </si>
  <si>
    <t>Foram utilizadas composições unitárias de serviços?</t>
  </si>
  <si>
    <t>Foram utilizados parâmetros por m² (custo médio)?</t>
  </si>
  <si>
    <t>Foram adotados fatores adicionais / incrementos / ajustes?</t>
  </si>
  <si>
    <t>Se sim, descrever fatores adicionais e percentuais:</t>
  </si>
  <si>
    <t>Há memória de cálculo detalhada disponível?</t>
  </si>
  <si>
    <t>Há ART/RRT do responsável pela precificação?</t>
  </si>
  <si>
    <t>ABA 3 — REFERÊNCIAS E BASES DE PREÇOS</t>
  </si>
  <si>
    <t>Registro das bases de preços utilizadas, com data-base, abrangência regional e adequação ao objeto. Permite avaliar se a referência escolhida é compatível com o tipo de obra.</t>
  </si>
  <si>
    <t>3.1 BASES DE PREÇOS EMPREGADAS</t>
  </si>
  <si>
    <t>Item</t>
  </si>
  <si>
    <t>Base de preços</t>
  </si>
  <si>
    <t>Data-base</t>
  </si>
  <si>
    <t>Versão/Tabela</t>
  </si>
  <si>
    <t>Abrangência regional</t>
  </si>
  <si>
    <t>Trecho do escopo a que se aplica</t>
  </si>
  <si>
    <t>3.2 ANÁLISE DE ADEQUAÇÃO DAS BASES</t>
  </si>
  <si>
    <t>A(s) base(s) utilizada(s) é(são) compatível(is) com o tipo de obra?</t>
  </si>
  <si>
    <t>A data-base dos preços é recente ou está adequadamente atualizada?</t>
  </si>
  <si>
    <t>Houve uso preferencial de referências públicas (SINAPI/SICRO)?</t>
  </si>
  <si>
    <t>Quando houve uso de cotações de mercado, há no mínimo 3 cotações?</t>
  </si>
  <si>
    <t>As cotações de mercado apresentam data, origem e responsável?</t>
  </si>
  <si>
    <t>O uso do CUB (quando aplicável) está acompanhado de incremento justificado?</t>
  </si>
  <si>
    <t>As bases utilizadas cobrem todo o escopo da obra?</t>
  </si>
  <si>
    <t>ABA 4 — PARÂMETROS E COMPONENTES DO CUSTO</t>
  </si>
  <si>
    <t>Registro e avaliação dos componentes que formam o custo total da obra: custo por m², BDI, fundações, projetos, acabamentos, equipamentos, climatização, serviços complementares, infraestrutura externa e demais parcelas.</t>
  </si>
  <si>
    <t>4.1 MÉTRICAS GLOBAIS DE PRECIFICAÇÃO</t>
  </si>
  <si>
    <t>Métrica</t>
  </si>
  <si>
    <t>Valor apurado</t>
  </si>
  <si>
    <t>Unidade</t>
  </si>
  <si>
    <t>Referência/benchmark</t>
  </si>
  <si>
    <t>Comentários</t>
  </si>
  <si>
    <t>Valor total da obra</t>
  </si>
  <si>
    <t>R$</t>
  </si>
  <si>
    <t>Área total construída/intervencionada</t>
  </si>
  <si>
    <t>m²</t>
  </si>
  <si>
    <t>Custo por m² apurado</t>
  </si>
  <si>
    <t>R$/m²</t>
  </si>
  <si>
    <t>BDI adotado</t>
  </si>
  <si>
    <t>%</t>
  </si>
  <si>
    <t>Taxa de incremento sobre CUB (se aplicável)</t>
  </si>
  <si>
    <t>Contingência / reserva técnica</t>
  </si>
  <si>
    <t>Encargos sociais aplicados</t>
  </si>
  <si>
    <t>Custo direto total</t>
  </si>
  <si>
    <t>Custo indireto total</t>
  </si>
  <si>
    <t>4.2 PARCELAS / COMPONENTES DO CUSTO</t>
  </si>
  <si>
    <t>Parcela / Componente</t>
  </si>
  <si>
    <t>Presente?</t>
  </si>
  <si>
    <t>Valor (R$)</t>
  </si>
  <si>
    <t>% do total</t>
  </si>
  <si>
    <t>Observações técnicas</t>
  </si>
  <si>
    <t>Serviços preliminares e canteiro</t>
  </si>
  <si>
    <t>Fundações e contenções</t>
  </si>
  <si>
    <t>Estrutura</t>
  </si>
  <si>
    <t>Vedações e esquadrias</t>
  </si>
  <si>
    <t>Instalações elétricas</t>
  </si>
  <si>
    <t>Instalações hidrossanitárias</t>
  </si>
  <si>
    <t>Instalações de prevenção e combate a incêndio</t>
  </si>
  <si>
    <t>Climatização (HVAC)</t>
  </si>
  <si>
    <t>Elevadores e transporte vertical</t>
  </si>
  <si>
    <t>Acabamentos e revestimentos</t>
  </si>
  <si>
    <t>Equipamentos especiais / mobiliário fixo</t>
  </si>
  <si>
    <t>Infraestrutura externa / urbanização</t>
  </si>
  <si>
    <t>Projetos e aprovações</t>
  </si>
  <si>
    <t>Licenciamento ambiental</t>
  </si>
  <si>
    <t>Administração da obra / canteiro</t>
  </si>
  <si>
    <t>Desapropriações</t>
  </si>
  <si>
    <t>Outros serviços complementares</t>
  </si>
  <si>
    <t>TOTAL DAS PARCELAS INFORMADAS</t>
  </si>
  <si>
    <t>ABA 5 — JUSTIFICATIVA TÉCNICA DA PRECIFICAÇÃO</t>
  </si>
  <si>
    <t>Transcrição, síntese e avaliação da justificativa técnica apresentada nos documentos analisados. Examina se a justificativa é explícita, suficiente e fundamentada.</t>
  </si>
  <si>
    <t>5.1 JUSTIFICATIVAS APRESENTADAS NOS DOCUMENTOS</t>
  </si>
  <si>
    <t>Tópico</t>
  </si>
  <si>
    <t>Objeto identificado nos documentos</t>
  </si>
  <si>
    <t>Justificativa transcrita / sintetizada</t>
  </si>
  <si>
    <t>Qualidade da justificativa</t>
  </si>
  <si>
    <t>Justificativa para a escolha da metodologia de precificação</t>
  </si>
  <si>
    <t>Justificativa para a escolha da(s) base(s) de preços</t>
  </si>
  <si>
    <t>Justificativa para a data-base adotada</t>
  </si>
  <si>
    <t>Justificativa para o BDI adotado</t>
  </si>
  <si>
    <t>Justificativa para taxa de incremento sobre CUB (se aplicável)</t>
  </si>
  <si>
    <t>Justificativa para fatores adicionais, percentuais ou ajustes</t>
  </si>
  <si>
    <t>Justificativa para parâmetros por m² (quando usados)</t>
  </si>
  <si>
    <t>Justificativa para contingência / reserva técnica</t>
  </si>
  <si>
    <t>Justificativa para composições próprias (se houver)</t>
  </si>
  <si>
    <t>Justificativa para valores de cotação de mercado (se houver)</t>
  </si>
  <si>
    <t>5.2 FUNDAMENTAÇÃO DAS JUSTIFICATIVAS APRESENTADAS</t>
  </si>
  <si>
    <t>As justificativas estão apoiadas em norma ou regulamento?</t>
  </si>
  <si>
    <t>Quais normas/regulamentos (se aplicável)?</t>
  </si>
  <si>
    <t>As justificativas estão apoiadas em benchmark externo?</t>
  </si>
  <si>
    <t>As justificativas estão apoiadas em estudos anteriores?</t>
  </si>
  <si>
    <t>As justificativas estão apoiadas em experiência institucional?</t>
  </si>
  <si>
    <t>As justificativas estão apoiadas em premissas próprias explicitadas?</t>
  </si>
  <si>
    <t>As justificativas citam parecer técnico específico?</t>
  </si>
  <si>
    <t>5.3 AVALIAÇÃO GLOBAL DA SUFICIÊNCIA</t>
  </si>
  <si>
    <t>Avaliação global da suficiência da justificativa apresentada:</t>
  </si>
  <si>
    <t>Fundamentação da avaliação (síntese do analista):</t>
  </si>
  <si>
    <t>ABA 6 — ANÁLISE CRÍTICA DA CONSISTÊNCIA METODOLÓGICA</t>
  </si>
  <si>
    <t>Checklist orientado a evidenciar clareza metodológica, rastreabilidade dos cálculos, compatibilidade da referência, risco de duplicidade, coerência do BDI e suficiência da memória de cálculo.</t>
  </si>
  <si>
    <t>6.1 CHECKLIST AVALIATIVO DE CONSISTÊNCIA</t>
  </si>
  <si>
    <t>Questão avaliativa</t>
  </si>
  <si>
    <t>Avaliação</t>
  </si>
  <si>
    <t>Nível de risco</t>
  </si>
  <si>
    <t>Comentários / evidências</t>
  </si>
  <si>
    <t>A metodologia adotada está claramente documentada?</t>
  </si>
  <si>
    <t>Não conforme</t>
  </si>
  <si>
    <t>Médio</t>
  </si>
  <si>
    <t>Os cálculos são rastreáveis desde as quantidades até o valor final?</t>
  </si>
  <si>
    <t>A memória de cálculo permite reproduzir os resultados?</t>
  </si>
  <si>
    <t>A referência de preços é compatível com o tipo de obra (reforma/nova/retrofit)?</t>
  </si>
  <si>
    <t>Conforme</t>
  </si>
  <si>
    <t>Alto</t>
  </si>
  <si>
    <t>O BDI adotado é compatível com o tipo de contratação e porte da obra?</t>
  </si>
  <si>
    <t>O BDI inclui apenas componentes pertinentes (sem duplicidade)?</t>
  </si>
  <si>
    <t>Há risco de dupla contagem entre composições unitárias e parcelas específicas?</t>
  </si>
  <si>
    <t>O uso do CUB (se houver) está restrito a hipóteses adequadas?</t>
  </si>
  <si>
    <t>Os incrementos sobre o CUB estão justificados tecnicamente?</t>
  </si>
  <si>
    <t>Baixo</t>
  </si>
  <si>
    <t>As cotações de mercado (se usadas) apresentam origem e data verificáveis?</t>
  </si>
  <si>
    <t>Há compatibilidade entre a data-base dos preços e a atualização adotada?</t>
  </si>
  <si>
    <t>A regionalização dos preços reflete as condições do RS / local da obra?</t>
  </si>
  <si>
    <t>Os parâmetros por m² (se usados) estão compatíveis com benchmarks do setor?</t>
  </si>
  <si>
    <t>A precificação guarda coerência com contratações similares do órgão?</t>
  </si>
  <si>
    <t>Existem componentes ausentes que deveriam estar contemplados?</t>
  </si>
  <si>
    <t>O valor global apresenta coerência com a complexidade e o escopo da obra?</t>
  </si>
  <si>
    <t>Há risco de superestimação / subestimação identificável?</t>
  </si>
  <si>
    <t>A consistência global da precificação é aceitável?</t>
  </si>
  <si>
    <t>ABA 7 — SÍNTESE CONCLUSIVA</t>
  </si>
  <si>
    <t>Quadro-resumo consolidando as informações. Alguns campos são preenchidos automaticamente a partir das abas anteriores; outros exigem interpretação e resumo do analista.</t>
  </si>
  <si>
    <t>7.1 IDENTIFICAÇÃO CONSOLIDADA (preenchimento automático)</t>
  </si>
  <si>
    <t>Projeto / caso analisado:</t>
  </si>
  <si>
    <t>Objeto:</t>
  </si>
  <si>
    <t>Órgão / entidade:</t>
  </si>
  <si>
    <t>Modalidade contratual:</t>
  </si>
  <si>
    <t>Natureza da intervenção:</t>
  </si>
  <si>
    <t>Valor total declarado (R$):</t>
  </si>
  <si>
    <t>Fase analisada:</t>
  </si>
  <si>
    <t>7.2 INDICADORES DA ANÁLISE CRÍTICA (preenchimento automático)</t>
  </si>
  <si>
    <t>Total de metodologias marcadas como utilizadas:</t>
  </si>
  <si>
    <t>Itens 'Conforme' na análise crítica:</t>
  </si>
  <si>
    <t>Itens 'Parcialmente conforme':</t>
  </si>
  <si>
    <t>Itens 'Não conforme':</t>
  </si>
  <si>
    <t>Itens com risco ALTO:</t>
  </si>
  <si>
    <t>Itens com risco MÉDIO:</t>
  </si>
  <si>
    <t>Itens com risco BAIXO:</t>
  </si>
  <si>
    <t>Total de itens avaliados:</t>
  </si>
  <si>
    <t>7.3 SÍNTESE INTERPRETATIVA (preenchimento pelo analista)</t>
  </si>
  <si>
    <t>Metodologia de precificação adotada (síntese):</t>
  </si>
  <si>
    <t>Referências de preços utilizadas (síntese):</t>
  </si>
  <si>
    <t>Principais parâmetros e componentes (síntese):</t>
  </si>
  <si>
    <t>Justificativa técnica apresentada (síntese):</t>
  </si>
  <si>
    <t>Avaliação da consistência metodológica (síntese):</t>
  </si>
  <si>
    <t>Fragilidades, lacunas e ressalvas identificadas:</t>
  </si>
  <si>
    <t>Recomendações e encaminhamentos sugeridos:</t>
  </si>
  <si>
    <t>Conclusão objetiva da análise:</t>
  </si>
  <si>
    <t>7.4 PARECER GLOBAL DA PRECIFICAÇÃO</t>
  </si>
  <si>
    <t>Parecer global sobre a precificação analisada:</t>
  </si>
  <si>
    <t>ABA 8 — RELATÓRIO TÉCNICO (TEXTO-BASE)</t>
  </si>
  <si>
    <t>Texto gerado automaticamente a partir do preenchimento das demais abas. Destinado a subsidiar a elaboração de relatório, parecer ou nota técnica. Os textos podem ser copiados e editados livremente.</t>
  </si>
  <si>
    <t>RELATÓRIO TÉCNICO DE ANÁLISE DE PRECIFICAÇÃO DE OBRAS</t>
  </si>
  <si>
    <t>1. IDENTIFICAÇÃO DO CASO</t>
  </si>
  <si>
    <t>2. METODOLOGIA DE PRECIFICAÇÃO ADOTADA</t>
  </si>
  <si>
    <t>3. REFERÊNCIAS DE PREÇOS UTILIZADAS</t>
  </si>
  <si>
    <t>4. PARÂMETROS E COMPONENTES EMPREGADOS</t>
  </si>
  <si>
    <t>5. JUSTIFICATIVA APRESENTADA PARA A PRECIFICAÇÃO</t>
  </si>
  <si>
    <t>6. ANÁLISE CRÍTICA DA CONSISTÊNCIA METODOLÓGICA</t>
  </si>
  <si>
    <t>7. FRAGILIDADES, LACUNAS E RESSALVAS IDENTIFICADAS</t>
  </si>
  <si>
    <t>8. RECOMENDAÇÕES E ENCAMINHAMENTOS</t>
  </si>
  <si>
    <t>9. CONCLUSÃO</t>
  </si>
  <si>
    <t>INDICADORES-CHAVE DA ANÁLISE</t>
  </si>
  <si>
    <t>CAGE/SEFAZ-RS — Texto gerado automaticamente a partir da ferramenta padronizada. Recomenda-se revisão pelo analista antes da emissão formal.</t>
  </si>
  <si>
    <t>Visão Consolidada da Precificação</t>
  </si>
  <si>
    <t>Indicadores agregados do checklist da Aba 6 — conforme preenchimento.</t>
  </si>
  <si>
    <t>TOTAL DE ITENS</t>
  </si>
  <si>
    <t>CONFORMES</t>
  </si>
  <si>
    <t>PARCIALMENTE CONFORMES</t>
  </si>
  <si>
    <t>NÃO CONFORMES</t>
  </si>
  <si>
    <t>avaliados</t>
  </si>
  <si>
    <t>01</t>
  </si>
  <si>
    <t>MATRIZ AVALIAÇÃO × RISCO</t>
  </si>
  <si>
    <t>Cor = severidade da posição (avaliação × risco). Vermelho escuro = crítico máximo, independente do valor.</t>
  </si>
  <si>
    <t>Não identificado</t>
  </si>
  <si>
    <t>Total</t>
  </si>
  <si>
    <t>Parcialmente conforme</t>
  </si>
  <si>
    <t>Não aplicável</t>
  </si>
  <si>
    <t>02</t>
  </si>
  <si>
    <t>DISTRIBUIÇÕES AGREGADAS</t>
  </si>
  <si>
    <t>Visão por avaliação e por nível de risco — para leitura rápida do agregado.</t>
  </si>
  <si>
    <t>Itens</t>
  </si>
  <si>
    <t>Por avaliação</t>
  </si>
  <si>
    <t>Por nível de risco</t>
  </si>
  <si>
    <t>03</t>
  </si>
  <si>
    <t>ITENS PRIORITÁRIOS</t>
  </si>
  <si>
    <t>Itens classificados como Não Conforme ou com Risco Alto — atualizam automaticamente conforme preenchimento da Aba 6.</t>
  </si>
  <si>
    <t>Risco</t>
  </si>
  <si>
    <t>Fonte: Aba 6 (entrada) → Aba 7 (indicadores) → Aba 9 (consolidação visual). CAGE/SEFAZ-RS.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</si>
</sst>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5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i/>
      <sz val="9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i/>
      <sz val="11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i/>
      <sz val="8"/>
      <color rgb="FF595959"/>
      <name val="Arial"/>
      <charset val="1"/>
    </font>
    <font>
      <sz val="9"/>
      <color rgb="FF595959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sz val="22"/>
      <color rgb="FF1A1A1A"/>
      <name val="Calibri"/>
      <charset val="1"/>
    </font>
    <font>
      <i/>
      <sz val="10"/>
      <color rgb="FF7A7672"/>
      <name val="Calibri"/>
      <charset val="1"/>
    </font>
    <font>
      <sz val="10"/>
      <color rgb="FF1A1A1A"/>
      <name val="Calibri"/>
      <charset val="1"/>
    </font>
    <font>
      <b/>
      <sz val="8"/>
      <color rgb="FF7A7672"/>
      <name val="Calibri"/>
      <charset val="1"/>
    </font>
    <font>
      <b/>
      <sz val="8"/>
      <color rgb="FF639922"/>
      <name val="Calibri"/>
      <charset val="1"/>
    </font>
    <font>
      <b/>
      <sz val="8"/>
      <color rgb="FFB88A2C"/>
      <name val="Calibri"/>
      <charset val="1"/>
    </font>
    <font>
      <b/>
      <sz val="8"/>
      <color rgb="FFC85A30"/>
      <name val="Calibri"/>
      <charset val="1"/>
    </font>
    <font>
      <b/>
      <sz val="28"/>
      <color rgb="FF1A1A1A"/>
      <name val="Calibri"/>
      <charset val="1"/>
    </font>
    <font>
      <b/>
      <sz val="28"/>
      <color rgb="FF639922"/>
      <name val="Calibri"/>
      <charset val="1"/>
    </font>
    <font>
      <sz val="11"/>
      <color rgb="FF639922"/>
      <name val="Calibri"/>
      <charset val="1"/>
    </font>
    <font>
      <b/>
      <sz val="28"/>
      <color rgb="FFB88A2C"/>
      <name val="Calibri"/>
      <charset val="1"/>
    </font>
    <font>
      <sz val="11"/>
      <color rgb="FFB88A2C"/>
      <name val="Calibri"/>
      <charset val="1"/>
    </font>
    <font>
      <b/>
      <sz val="28"/>
      <color rgb="FFC85A30"/>
      <name val="Calibri"/>
      <charset val="1"/>
    </font>
    <font>
      <sz val="9"/>
      <color rgb="FF7A7672"/>
      <name val="Calibri"/>
      <charset val="1"/>
    </font>
    <font>
      <b/>
      <sz val="10"/>
      <color rgb="FF1F3864"/>
      <name val="Calibri"/>
      <charset val="1"/>
    </font>
    <font>
      <b/>
      <sz val="11"/>
      <color rgb="FF1A1A1A"/>
      <name val="Calibri"/>
      <charset val="1"/>
    </font>
    <font>
      <i/>
      <sz val="8"/>
      <color rgb="FF595959"/>
      <name val="Calibri"/>
      <charset val="1"/>
    </font>
    <font>
      <b/>
      <sz val="9"/>
      <color rgb="FF7A7672"/>
      <name val="Calibri"/>
      <charset val="1"/>
    </font>
    <font>
      <b/>
      <sz val="10"/>
      <color rgb="FF639922"/>
      <name val="Calibri"/>
      <charset val="1"/>
    </font>
    <font>
      <sz val="11"/>
      <color rgb="FF15803D"/>
      <name val="Calibri"/>
      <charset val="1"/>
    </font>
    <font>
      <sz val="11"/>
      <color rgb="FFB45309"/>
      <name val="Calibri"/>
      <charset val="1"/>
    </font>
    <font>
      <b/>
      <sz val="11"/>
      <color rgb="FFA05010"/>
      <name val="Calibri"/>
      <charset val="1"/>
    </font>
    <font>
      <b/>
      <sz val="11"/>
      <color rgb="FF595959"/>
      <name val="Calibri"/>
      <charset val="1"/>
    </font>
    <font>
      <b/>
      <sz val="10"/>
      <color rgb="FFB88A2C"/>
      <name val="Calibri"/>
      <charset val="1"/>
    </font>
    <font>
      <b/>
      <sz val="11"/>
      <color rgb="FF8B2200"/>
      <name val="Calibri"/>
      <charset val="1"/>
    </font>
    <font>
      <b/>
      <sz val="10"/>
      <color rgb="FFC85A30"/>
      <name val="Calibri"/>
      <charset val="1"/>
    </font>
    <font>
      <b/>
      <sz val="11"/>
      <color rgb="FFFFFFFF"/>
      <name val="Calibri"/>
      <charset val="1"/>
    </font>
    <font>
      <b/>
      <sz val="10"/>
      <color rgb="FFA8A6A0"/>
      <name val="Calibri"/>
      <charset val="1"/>
    </font>
    <font>
      <sz val="11"/>
      <color rgb="FF9CA3AF"/>
      <name val="Calibri"/>
      <charset val="1"/>
    </font>
    <font>
      <b/>
      <sz val="10"/>
      <color rgb="FF595959"/>
      <name val="Calibri"/>
      <charset val="1"/>
    </font>
    <font>
      <i/>
      <sz val="9"/>
      <color rgb="FF7A7672"/>
      <name val="Calibri"/>
      <charset val="1"/>
    </font>
    <font>
      <sz val="9"/>
      <color rgb="FF1A1A1A"/>
      <name val="Calibri"/>
      <charset val="1"/>
    </font>
    <font>
      <b/>
      <sz val="9"/>
      <color rgb="FF1A1A1A"/>
      <name val="Calibri"/>
      <charset val="1"/>
    </font>
    <font>
      <i/>
      <sz val="8"/>
      <color rgb="FF7A7672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E5597"/>
      </patternFill>
    </fill>
    <fill>
      <patternFill patternType="solid">
        <fgColor rgb="FFD9E2F3"/>
        <bgColor rgb="FFE5E5E5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2E5597"/>
        <bgColor rgb="FF1F3864"/>
      </patternFill>
    </fill>
    <fill>
      <patternFill patternType="solid">
        <fgColor rgb="FFFFF2CC"/>
        <bgColor rgb="FFFEF3C7"/>
      </patternFill>
    </fill>
    <fill>
      <patternFill patternType="solid">
        <fgColor rgb="FFE2EFDA"/>
        <bgColor rgb="FFD9F2DC"/>
      </patternFill>
    </fill>
    <fill>
      <patternFill patternType="solid">
        <fgColor rgb="FFFCE4D6"/>
        <bgColor rgb="FFFEE2E2"/>
      </patternFill>
    </fill>
    <fill>
      <patternFill patternType="solid">
        <fgColor rgb="FFF8CBAD"/>
        <bgColor rgb="FFFDDCB5"/>
      </patternFill>
    </fill>
    <fill>
      <patternFill patternType="solid">
        <fgColor rgb="FFEAEAEA"/>
        <bgColor rgb="FFE5E5E5"/>
      </patternFill>
    </fill>
    <fill>
      <patternFill patternType="solid">
        <fgColor rgb="FFC8EFCC"/>
        <bgColor rgb="FFD9F2DC"/>
      </patternFill>
    </fill>
    <fill>
      <patternFill patternType="solid">
        <fgColor rgb="FFFEF3C7"/>
        <bgColor rgb="FFFFF2CC"/>
      </patternFill>
    </fill>
    <fill>
      <patternFill patternType="solid">
        <fgColor rgb="FFFDDCB5"/>
        <bgColor rgb="FFFCE4D6"/>
      </patternFill>
    </fill>
    <fill>
      <patternFill patternType="solid">
        <fgColor rgb="FFF4B8A0"/>
        <bgColor rgb="FFF8CBAD"/>
      </patternFill>
    </fill>
    <fill>
      <patternFill patternType="solid">
        <fgColor rgb="FF7B0A0A"/>
        <bgColor rgb="FF8B1A1A"/>
      </patternFill>
    </fill>
    <fill>
      <patternFill patternType="solid">
        <fgColor rgb="FFF5F5F5"/>
        <b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E5E5E5"/>
      </bottom>
      <diagonal/>
    </border>
    <border>
      <left style="medium">
        <color rgb="FF7B0A0A"/>
      </left>
      <right style="medium">
        <color rgb="FF7B0A0A"/>
      </right>
      <top style="medium">
        <color rgb="FF7B0A0A"/>
      </top>
      <bottom style="medium">
        <color rgb="FF7B0A0A"/>
      </bottom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3" fillId="7" borderId="4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" xfId="0" applyFill="1" applyBorder="1"/>
    <xf numFmtId="0" fontId="8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1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right" vertical="center" indent="1"/>
    </xf>
    <xf numFmtId="0" fontId="1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right" vertical="center" indent="1"/>
    </xf>
    <xf numFmtId="165" fontId="5" fillId="5" borderId="2" xfId="0" applyNumberFormat="1" applyFont="1" applyFill="1" applyBorder="1" applyAlignment="1">
      <alignment horizontal="right" vertical="center" indent="1"/>
    </xf>
    <xf numFmtId="0" fontId="4" fillId="3" borderId="2" xfId="0" applyFont="1" applyFill="1" applyBorder="1" applyAlignment="1">
      <alignment horizontal="right" vertical="center" indent="1"/>
    </xf>
    <xf numFmtId="164" fontId="4" fillId="3" borderId="2" xfId="0" applyNumberFormat="1" applyFont="1" applyFill="1" applyBorder="1" applyAlignment="1">
      <alignment horizontal="right" vertical="center" indent="1"/>
    </xf>
    <xf numFmtId="165" fontId="4" fillId="3" borderId="2" xfId="0" applyNumberFormat="1" applyFont="1" applyFill="1" applyBorder="1" applyAlignment="1">
      <alignment horizontal="right" vertical="center" indent="1"/>
    </xf>
    <xf numFmtId="0" fontId="0" fillId="3" borderId="2" xfId="0" applyFill="1" applyBorder="1"/>
    <xf numFmtId="0" fontId="0" fillId="0" borderId="3" xfId="0" applyBorder="1"/>
    <xf numFmtId="0" fontId="8" fillId="4" borderId="2" xfId="0" applyFont="1" applyFill="1" applyBorder="1" applyAlignment="1">
      <alignment horizontal="left" vertical="top" wrapText="1" indent="1"/>
    </xf>
    <xf numFmtId="0" fontId="12" fillId="11" borderId="4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top" wrapText="1" indent="1"/>
    </xf>
    <xf numFmtId="0" fontId="8" fillId="4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 indent="1"/>
    </xf>
    <xf numFmtId="0" fontId="14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left" vertical="top" wrapText="1" indent="1"/>
    </xf>
    <xf numFmtId="0" fontId="15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top" wrapText="1" inden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9" fontId="25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9" fontId="27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3" fillId="0" borderId="5" xfId="0" applyFont="1" applyBorder="1" applyAlignment="1">
      <alignment horizontal="center" vertical="center"/>
    </xf>
    <xf numFmtId="0" fontId="34" fillId="0" borderId="6" xfId="0" applyFont="1" applyBorder="1" applyAlignment="1">
      <alignment horizontal="left" vertical="center"/>
    </xf>
    <xf numFmtId="0" fontId="35" fillId="12" borderId="6" xfId="0" applyFont="1" applyFill="1" applyBorder="1" applyAlignment="1">
      <alignment horizontal="center" vertical="center"/>
    </xf>
    <xf numFmtId="0" fontId="36" fillId="13" borderId="6" xfId="0" applyFont="1" applyFill="1" applyBorder="1" applyAlignment="1">
      <alignment horizontal="center" vertical="center"/>
    </xf>
    <xf numFmtId="0" fontId="37" fillId="14" borderId="6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left" vertical="center"/>
    </xf>
    <xf numFmtId="0" fontId="40" fillId="1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left" vertical="center"/>
    </xf>
    <xf numFmtId="0" fontId="42" fillId="16" borderId="7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left" vertical="center"/>
    </xf>
    <xf numFmtId="0" fontId="44" fillId="17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47" fillId="0" borderId="6" xfId="0" applyFont="1" applyBorder="1" applyAlignment="1">
      <alignment horizontal="left" vertical="top" wrapText="1"/>
    </xf>
    <xf numFmtId="0" fontId="48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top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9" fillId="0" borderId="8" xfId="0" applyFont="1" applyBorder="1" applyAlignment="1">
      <alignment horizontal="left" vertical="center"/>
    </xf>
  </cellXfs>
  <cellStyles count="1">
    <cellStyle name="Normal" xfId="0" builtinId="0"/>
  </cellStyles>
  <dxfs count="11">
    <dxf>
      <font>
        <b/>
        <sz val="9"/>
        <color rgb="FFB88A2C"/>
        <name val="Calibri"/>
        <charset val="1"/>
      </font>
      <fill>
        <patternFill>
          <bgColor rgb="FFFAF1DC"/>
        </patternFill>
      </fill>
    </dxf>
    <dxf>
      <font>
        <b/>
        <sz val="9"/>
        <color rgb="FFC85A30"/>
        <name val="Calibri"/>
        <charset val="1"/>
      </font>
      <fill>
        <patternFill>
          <bgColor rgb="FFFBEDE3"/>
        </patternFill>
      </fill>
    </dxf>
    <dxf>
      <font>
        <b/>
        <sz val="9"/>
        <color rgb="FFB88A2C"/>
        <name val="Calibri"/>
        <charset val="1"/>
      </font>
      <fill>
        <patternFill>
          <bgColor rgb="FFFAF1DC"/>
        </patternFill>
      </fill>
    </dxf>
    <dxf>
      <font>
        <b/>
        <sz val="9"/>
        <color rgb="FFC85A30"/>
        <name val="Calibri"/>
        <charset val="1"/>
      </font>
      <fill>
        <patternFill>
          <bgColor rgb="FFFBEDE3"/>
        </patternFill>
      </fill>
    </dxf>
    <dxf>
      <font>
        <sz val="11"/>
        <color rgb="FFC8C8C8"/>
        <name val="Calibri"/>
        <charset val="1"/>
      </font>
      <fill>
        <patternFill>
          <bgColor rgb="FFFAFAFA"/>
        </patternFill>
      </fill>
    </dxf>
    <dxf>
      <font>
        <b/>
        <sz val="14"/>
        <color rgb="FF15803D"/>
        <name val="Calibri"/>
        <charset val="1"/>
      </font>
      <fill>
        <patternFill>
          <bgColor rgb="FFD9F2DC"/>
        </patternFill>
      </fill>
    </dxf>
    <dxf>
      <font>
        <b/>
        <sz val="14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4"/>
        <color rgb="FF8B1A1A"/>
        <name val="Calibri"/>
        <charset val="1"/>
      </font>
      <fill>
        <patternFill>
          <bgColor rgb="FFFEE2E2"/>
        </patternFill>
      </fill>
    </dxf>
    <dxf>
      <font>
        <b/>
        <sz val="14"/>
        <color rgb="FFB45309"/>
        <name val="Calibri"/>
        <charset val="1"/>
      </font>
      <fill>
        <patternFill>
          <bgColor rgb="FFFEF3C7"/>
        </patternFill>
      </fill>
    </dxf>
    <dxf>
      <font>
        <sz val="14"/>
        <color rgb="FFB0B0B0"/>
        <name val="Calibri"/>
        <charset val="1"/>
      </font>
      <fill>
        <patternFill>
          <bgColor rgb="FFF5F5F5"/>
        </patternFill>
      </fill>
    </dxf>
    <dxf>
      <font>
        <b/>
        <sz val="14"/>
        <color rgb="FF15803D"/>
        <name val="Calibri"/>
        <charset val="1"/>
      </font>
      <fill>
        <patternFill>
          <bgColor rgb="FFD9F2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EE2E2"/>
      <rgbColor rgb="FF0000FF"/>
      <rgbColor rgb="FFFAF1DC"/>
      <rgbColor rgb="FFFF00FF"/>
      <rgbColor rgb="FFF2F2F2"/>
      <rgbColor rgb="FF7B0A0A"/>
      <rgbColor rgb="FF15803D"/>
      <rgbColor rgb="FF000080"/>
      <rgbColor rgb="FF639922"/>
      <rgbColor rgb="FF800080"/>
      <rgbColor rgb="FFFAFAFA"/>
      <rgbColor rgb="FFBFBFBF"/>
      <rgbColor rgb="FF7A7672"/>
      <rgbColor rgb="FF9CA3AF"/>
      <rgbColor rgb="FFA05010"/>
      <rgbColor rgb="FFFEF3C7"/>
      <rgbColor rgb="FFD9F2DC"/>
      <rgbColor rgb="FF660066"/>
      <rgbColor rgb="FFA8A6A0"/>
      <rgbColor rgb="FF0066CC"/>
      <rgbColor rgb="FFD9D9D9"/>
      <rgbColor rgb="FF000080"/>
      <rgbColor rgb="FFFF00FF"/>
      <rgbColor rgb="FFFCE4D6"/>
      <rgbColor rgb="FFF5F5F5"/>
      <rgbColor rgb="FF800080"/>
      <rgbColor rgb="FF8B1A1A"/>
      <rgbColor rgb="FF008080"/>
      <rgbColor rgb="FF0000FF"/>
      <rgbColor rgb="FFFBEDE3"/>
      <rgbColor rgb="FFE2EFDA"/>
      <rgbColor rgb="FFC8EFCC"/>
      <rgbColor rgb="FFFFF2CC"/>
      <rgbColor rgb="FFC8C8C8"/>
      <rgbColor rgb="FFF4B8A0"/>
      <rgbColor rgb="FFB0B0B0"/>
      <rgbColor rgb="FFF8CBAD"/>
      <rgbColor rgb="FF4F81BD"/>
      <rgbColor rgb="FFD9E2F3"/>
      <rgbColor rgb="FFE5E5E5"/>
      <rgbColor rgb="FFFDDCB5"/>
      <rgbColor rgb="FFB88A2C"/>
      <rgbColor rgb="FFC85A30"/>
      <rgbColor rgb="FF595959"/>
      <rgbColor rgb="FF999999"/>
      <rgbColor rgb="FF1F3864"/>
      <rgbColor rgb="FFEAEAEA"/>
      <rgbColor rgb="FF003300"/>
      <rgbColor rgb="FF333300"/>
      <rgbColor rgb="FF8B2200"/>
      <rgbColor rgb="FFB45309"/>
      <rgbColor rgb="FF2E5597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'9. Dashboard'!$C$29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3992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83F-4AE1-BF86-729CA927296A}"/>
              </c:ext>
            </c:extLst>
          </c:dPt>
          <c:dPt>
            <c:idx val="1"/>
            <c:bubble3D val="0"/>
            <c:spPr>
              <a:solidFill>
                <a:srgbClr val="B88A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83F-4AE1-BF86-729CA927296A}"/>
              </c:ext>
            </c:extLst>
          </c:dPt>
          <c:dPt>
            <c:idx val="2"/>
            <c:bubble3D val="0"/>
            <c:spPr>
              <a:solidFill>
                <a:srgbClr val="C85A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83F-4AE1-BF86-729CA927296A}"/>
              </c:ext>
            </c:extLst>
          </c:dPt>
          <c:dPt>
            <c:idx val="3"/>
            <c:bubble3D val="0"/>
            <c:spPr>
              <a:solidFill>
                <a:srgbClr val="A8A6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83F-4AE1-BF86-729CA927296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83F-4AE1-BF86-729CA927296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83F-4AE1-BF86-729CA927296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83F-4AE1-BF86-729CA927296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83F-4AE1-BF86-729CA92729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 Dashboard'!$B$30:$B$33</c:f>
              <c:strCache>
                <c:ptCount val="4"/>
                <c:pt idx="0">
                  <c:v>Conforme</c:v>
                </c:pt>
                <c:pt idx="1">
                  <c:v>Parcialmente conforme</c:v>
                </c:pt>
                <c:pt idx="2">
                  <c:v>Não conforme</c:v>
                </c:pt>
                <c:pt idx="3">
                  <c:v>Não aplicável</c:v>
                </c:pt>
              </c:strCache>
            </c:strRef>
          </c:cat>
          <c:val>
            <c:numRef>
              <c:f>'9. Dashboard'!$C$30:$C$33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3F-4AE1-BF86-729CA9272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'9. Dashboard'!$F$29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3992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332-4D58-8D38-B411335EC3C4}"/>
              </c:ext>
            </c:extLst>
          </c:dPt>
          <c:dPt>
            <c:idx val="1"/>
            <c:bubble3D val="0"/>
            <c:spPr>
              <a:solidFill>
                <a:srgbClr val="B88A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32-4D58-8D38-B411335EC3C4}"/>
              </c:ext>
            </c:extLst>
          </c:dPt>
          <c:dPt>
            <c:idx val="2"/>
            <c:bubble3D val="0"/>
            <c:spPr>
              <a:solidFill>
                <a:srgbClr val="C85A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32-4D58-8D38-B411335EC3C4}"/>
              </c:ext>
            </c:extLst>
          </c:dPt>
          <c:dPt>
            <c:idx val="3"/>
            <c:bubble3D val="0"/>
            <c:spPr>
              <a:solidFill>
                <a:srgbClr val="A8A6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332-4D58-8D38-B411335EC3C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332-4D58-8D38-B411335EC3C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332-4D58-8D38-B411335EC3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332-4D58-8D38-B411335EC3C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332-4D58-8D38-B411335EC3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 Dashboard'!$E$30:$E$33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Não identificado</c:v>
                </c:pt>
              </c:strCache>
            </c:strRef>
          </c:cat>
          <c:val>
            <c:numRef>
              <c:f>'9. Dashboard'!$F$30:$F$33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32-4D58-8D38-B411335E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847800</xdr:colOff>
      <xdr:row>0</xdr:row>
      <xdr:rowOff>66600</xdr:rowOff>
    </xdr:from>
    <xdr:to>
      <xdr:col>2</xdr:col>
      <xdr:colOff>5289480</xdr:colOff>
      <xdr:row>3</xdr:row>
      <xdr:rowOff>153360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8920" y="66600"/>
          <a:ext cx="6555960" cy="92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247680</xdr:colOff>
      <xdr:row>0</xdr:row>
      <xdr:rowOff>76320</xdr:rowOff>
    </xdr:from>
    <xdr:to>
      <xdr:col>3</xdr:col>
      <xdr:colOff>1803240</xdr:colOff>
      <xdr:row>3</xdr:row>
      <xdr:rowOff>52560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8800" y="76320"/>
          <a:ext cx="5784480" cy="814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1866960</xdr:colOff>
      <xdr:row>0</xdr:row>
      <xdr:rowOff>104760</xdr:rowOff>
    </xdr:from>
    <xdr:to>
      <xdr:col>3</xdr:col>
      <xdr:colOff>385920</xdr:colOff>
      <xdr:row>3</xdr:row>
      <xdr:rowOff>157320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08080" y="104760"/>
          <a:ext cx="6413040" cy="89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1748880</xdr:colOff>
      <xdr:row>0</xdr:row>
      <xdr:rowOff>57240</xdr:rowOff>
    </xdr:from>
    <xdr:to>
      <xdr:col>4</xdr:col>
      <xdr:colOff>300240</xdr:colOff>
      <xdr:row>3</xdr:row>
      <xdr:rowOff>153360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90000" y="57240"/>
          <a:ext cx="6727320" cy="934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1305000</xdr:colOff>
      <xdr:row>0</xdr:row>
      <xdr:rowOff>95400</xdr:rowOff>
    </xdr:from>
    <xdr:to>
      <xdr:col>5</xdr:col>
      <xdr:colOff>1755720</xdr:colOff>
      <xdr:row>3</xdr:row>
      <xdr:rowOff>186120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65000" y="95400"/>
          <a:ext cx="6653520" cy="9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1400040</xdr:colOff>
      <xdr:row>0</xdr:row>
      <xdr:rowOff>104760</xdr:rowOff>
    </xdr:from>
    <xdr:to>
      <xdr:col>5</xdr:col>
      <xdr:colOff>1448640</xdr:colOff>
      <xdr:row>3</xdr:row>
      <xdr:rowOff>195480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41160" y="104760"/>
          <a:ext cx="6674040" cy="9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998280</xdr:colOff>
      <xdr:row>0</xdr:row>
      <xdr:rowOff>63000</xdr:rowOff>
    </xdr:from>
    <xdr:to>
      <xdr:col>3</xdr:col>
      <xdr:colOff>763200</xdr:colOff>
      <xdr:row>3</xdr:row>
      <xdr:rowOff>157320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9400" y="63000"/>
          <a:ext cx="5614920" cy="93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1495440</xdr:colOff>
      <xdr:row>0</xdr:row>
      <xdr:rowOff>38160</xdr:rowOff>
    </xdr:from>
    <xdr:to>
      <xdr:col>4</xdr:col>
      <xdr:colOff>1683360</xdr:colOff>
      <xdr:row>3</xdr:row>
      <xdr:rowOff>128880</xdr:rowOff>
    </xdr:to>
    <xdr:pic>
      <xdr:nvPicPr>
        <xdr:cNvPr id="7" name="Imagem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720" y="38160"/>
          <a:ext cx="6672600" cy="9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647640</xdr:colOff>
      <xdr:row>0</xdr:row>
      <xdr:rowOff>95400</xdr:rowOff>
    </xdr:from>
    <xdr:to>
      <xdr:col>2</xdr:col>
      <xdr:colOff>4055040</xdr:colOff>
      <xdr:row>3</xdr:row>
      <xdr:rowOff>182160</xdr:rowOff>
    </xdr:to>
    <xdr:pic>
      <xdr:nvPicPr>
        <xdr:cNvPr id="8" name="Imagem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58560" y="95400"/>
          <a:ext cx="6579000" cy="92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266760</xdr:colOff>
      <xdr:row>0</xdr:row>
      <xdr:rowOff>28440</xdr:rowOff>
    </xdr:from>
    <xdr:to>
      <xdr:col>1</xdr:col>
      <xdr:colOff>6764040</xdr:colOff>
      <xdr:row>3</xdr:row>
      <xdr:rowOff>115200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7880" y="28440"/>
          <a:ext cx="6497280" cy="92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3</xdr:col>
      <xdr:colOff>418680</xdr:colOff>
      <xdr:row>49</xdr:row>
      <xdr:rowOff>79560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36</xdr:row>
      <xdr:rowOff>0</xdr:rowOff>
    </xdr:from>
    <xdr:to>
      <xdr:col>6</xdr:col>
      <xdr:colOff>987120</xdr:colOff>
      <xdr:row>49</xdr:row>
      <xdr:rowOff>79560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122040</xdr:colOff>
      <xdr:row>0</xdr:row>
      <xdr:rowOff>106560</xdr:rowOff>
    </xdr:from>
    <xdr:to>
      <xdr:col>6</xdr:col>
      <xdr:colOff>721440</xdr:colOff>
      <xdr:row>3</xdr:row>
      <xdr:rowOff>193320</xdr:rowOff>
    </xdr:to>
    <xdr:pic>
      <xdr:nvPicPr>
        <xdr:cNvPr id="12" name="Imagem 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33360" y="106560"/>
          <a:ext cx="6661080" cy="924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zoomScaleNormal="100" workbookViewId="0">
      <pane ySplit="8" topLeftCell="A46" activePane="bottomLeft" state="frozen"/>
      <selection pane="bottomLeft" activeCell="A25" sqref="A25"/>
    </sheetView>
  </sheetViews>
  <sheetFormatPr defaultColWidth="8.6640625" defaultRowHeight="14.4" x14ac:dyDescent="0.3"/>
  <cols>
    <col min="1" max="1" width="2" customWidth="1"/>
    <col min="2" max="2" width="30" customWidth="1"/>
    <col min="3" max="3" width="90" customWidth="1"/>
    <col min="4" max="4" width="2" customWidth="1"/>
  </cols>
  <sheetData>
    <row r="1" spans="1:4" s="15" customFormat="1" ht="14.25" customHeight="1" x14ac:dyDescent="0.3"/>
    <row r="2" spans="1:4" s="15" customFormat="1" ht="30" customHeight="1" x14ac:dyDescent="0.3"/>
    <row r="3" spans="1:4" s="15" customFormat="1" ht="21.75" customHeight="1" x14ac:dyDescent="0.3"/>
    <row r="4" spans="1:4" s="15" customFormat="1" ht="21.75" customHeight="1" x14ac:dyDescent="0.3"/>
    <row r="5" spans="1:4" ht="27.75" customHeight="1" x14ac:dyDescent="0.3">
      <c r="A5" s="14"/>
      <c r="B5" s="14"/>
      <c r="C5" s="14"/>
      <c r="D5" s="14"/>
    </row>
    <row r="6" spans="1:4" ht="25.5" customHeight="1" x14ac:dyDescent="0.3">
      <c r="A6" s="13" t="s">
        <v>0</v>
      </c>
      <c r="B6" s="13"/>
      <c r="C6" s="13"/>
      <c r="D6" s="13"/>
    </row>
    <row r="7" spans="1:4" ht="31.5" customHeight="1" x14ac:dyDescent="0.3">
      <c r="A7" s="12"/>
      <c r="B7" s="12"/>
      <c r="C7" s="12"/>
      <c r="D7" s="12"/>
    </row>
    <row r="9" spans="1:4" ht="24" customHeight="1" x14ac:dyDescent="0.3">
      <c r="A9" s="11" t="s">
        <v>1</v>
      </c>
      <c r="B9" s="11"/>
      <c r="C9" s="11"/>
    </row>
    <row r="10" spans="1:4" ht="14.25" customHeight="1" x14ac:dyDescent="0.3">
      <c r="A10" s="16"/>
      <c r="B10" s="10" t="s">
        <v>2</v>
      </c>
      <c r="C10" s="10"/>
    </row>
    <row r="11" spans="1:4" ht="14.25" customHeight="1" x14ac:dyDescent="0.3">
      <c r="A11" s="16"/>
      <c r="B11" s="10" t="s">
        <v>3</v>
      </c>
      <c r="C11" s="10"/>
    </row>
    <row r="13" spans="1:4" ht="24" customHeight="1" x14ac:dyDescent="0.3">
      <c r="A13" s="11" t="s">
        <v>4</v>
      </c>
      <c r="B13" s="11"/>
      <c r="C13" s="11"/>
    </row>
    <row r="14" spans="1:4" ht="14.25" customHeight="1" x14ac:dyDescent="0.3">
      <c r="A14" s="16"/>
      <c r="B14" s="10" t="s">
        <v>5</v>
      </c>
      <c r="C14" s="10"/>
    </row>
    <row r="15" spans="1:4" ht="14.25" customHeight="1" x14ac:dyDescent="0.3">
      <c r="A15" s="16"/>
      <c r="B15" s="10" t="s">
        <v>6</v>
      </c>
      <c r="C15" s="10"/>
    </row>
    <row r="16" spans="1:4" ht="14.25" customHeight="1" x14ac:dyDescent="0.3">
      <c r="A16" s="16"/>
      <c r="B16" s="10" t="s">
        <v>7</v>
      </c>
      <c r="C16" s="10"/>
    </row>
    <row r="17" spans="1:3" ht="14.25" customHeight="1" x14ac:dyDescent="0.3">
      <c r="A17" s="16"/>
      <c r="B17" s="10" t="s">
        <v>8</v>
      </c>
      <c r="C17" s="10"/>
    </row>
    <row r="18" spans="1:3" ht="14.25" customHeight="1" x14ac:dyDescent="0.3">
      <c r="A18" s="16"/>
      <c r="B18" s="10" t="s">
        <v>9</v>
      </c>
      <c r="C18" s="10"/>
    </row>
    <row r="19" spans="1:3" ht="14.25" customHeight="1" x14ac:dyDescent="0.3">
      <c r="A19" s="16"/>
      <c r="B19" s="10" t="s">
        <v>10</v>
      </c>
      <c r="C19" s="10"/>
    </row>
    <row r="20" spans="1:3" ht="14.25" customHeight="1" x14ac:dyDescent="0.3">
      <c r="A20" s="16"/>
      <c r="B20" s="10" t="s">
        <v>11</v>
      </c>
      <c r="C20" s="10"/>
    </row>
    <row r="21" spans="1:3" ht="14.25" customHeight="1" x14ac:dyDescent="0.3">
      <c r="A21" s="16"/>
      <c r="B21" s="10" t="s">
        <v>12</v>
      </c>
      <c r="C21" s="10"/>
    </row>
    <row r="22" spans="1:3" ht="14.25" customHeight="1" x14ac:dyDescent="0.3">
      <c r="A22" s="16"/>
      <c r="B22" s="10" t="s">
        <v>13</v>
      </c>
      <c r="C22" s="10"/>
    </row>
    <row r="24" spans="1:3" ht="24" customHeight="1" x14ac:dyDescent="0.3">
      <c r="A24" s="11" t="s">
        <v>14</v>
      </c>
      <c r="B24" s="11"/>
      <c r="C24" s="11"/>
    </row>
    <row r="25" spans="1:3" ht="14.25" customHeight="1" x14ac:dyDescent="0.3">
      <c r="A25" s="16"/>
      <c r="B25" s="10" t="s">
        <v>15</v>
      </c>
      <c r="C25" s="10"/>
    </row>
    <row r="26" spans="1:3" ht="14.25" customHeight="1" x14ac:dyDescent="0.3">
      <c r="A26" s="16"/>
      <c r="B26" s="10" t="s">
        <v>16</v>
      </c>
      <c r="C26" s="10"/>
    </row>
    <row r="28" spans="1:3" ht="24" customHeight="1" x14ac:dyDescent="0.3">
      <c r="A28" s="11" t="s">
        <v>17</v>
      </c>
      <c r="B28" s="11"/>
      <c r="C28" s="11"/>
    </row>
    <row r="29" spans="1:3" ht="14.25" customHeight="1" x14ac:dyDescent="0.3">
      <c r="A29" s="16"/>
      <c r="B29" s="10" t="s">
        <v>18</v>
      </c>
      <c r="C29" s="10"/>
    </row>
    <row r="30" spans="1:3" ht="30" customHeight="1" x14ac:dyDescent="0.3">
      <c r="A30" s="16"/>
      <c r="B30" s="10"/>
      <c r="C30" s="10"/>
    </row>
    <row r="32" spans="1:3" ht="24" customHeight="1" x14ac:dyDescent="0.3">
      <c r="A32" s="11" t="s">
        <v>19</v>
      </c>
      <c r="B32" s="11"/>
      <c r="C32" s="11"/>
    </row>
    <row r="33" spans="1:3" ht="30" customHeight="1" x14ac:dyDescent="0.3">
      <c r="A33" s="16"/>
      <c r="B33" s="10" t="s">
        <v>20</v>
      </c>
      <c r="C33" s="10"/>
    </row>
    <row r="34" spans="1:3" ht="30" customHeight="1" x14ac:dyDescent="0.3">
      <c r="A34" s="16"/>
      <c r="B34" s="10" t="s">
        <v>21</v>
      </c>
      <c r="C34" s="10"/>
    </row>
    <row r="35" spans="1:3" ht="30" customHeight="1" x14ac:dyDescent="0.3">
      <c r="A35" s="16"/>
      <c r="B35" s="10" t="s">
        <v>22</v>
      </c>
      <c r="C35" s="10"/>
    </row>
    <row r="36" spans="1:3" ht="30" customHeight="1" x14ac:dyDescent="0.3">
      <c r="A36" s="16"/>
      <c r="B36" s="10" t="s">
        <v>23</v>
      </c>
      <c r="C36" s="10"/>
    </row>
    <row r="38" spans="1:3" ht="24" customHeight="1" x14ac:dyDescent="0.3">
      <c r="A38" s="11" t="s">
        <v>24</v>
      </c>
      <c r="B38" s="11"/>
      <c r="C38" s="11"/>
    </row>
    <row r="39" spans="1:3" ht="30" customHeight="1" x14ac:dyDescent="0.3">
      <c r="A39" s="16"/>
      <c r="B39" s="10" t="s">
        <v>25</v>
      </c>
      <c r="C39" s="10"/>
    </row>
    <row r="40" spans="1:3" ht="14.25" customHeight="1" x14ac:dyDescent="0.3">
      <c r="A40" s="16"/>
      <c r="B40" s="10" t="s">
        <v>26</v>
      </c>
      <c r="C40" s="10"/>
    </row>
    <row r="42" spans="1:3" ht="24" customHeight="1" x14ac:dyDescent="0.3">
      <c r="A42" s="11" t="s">
        <v>27</v>
      </c>
      <c r="B42" s="11"/>
      <c r="C42" s="11"/>
    </row>
    <row r="43" spans="1:3" ht="30" customHeight="1" x14ac:dyDescent="0.3">
      <c r="A43" s="16"/>
      <c r="B43" s="10" t="s">
        <v>28</v>
      </c>
      <c r="C43" s="10"/>
    </row>
    <row r="45" spans="1:3" ht="14.25" customHeight="1" x14ac:dyDescent="0.3">
      <c r="A45" s="11" t="s">
        <v>29</v>
      </c>
      <c r="B45" s="11"/>
      <c r="C45" s="11"/>
    </row>
    <row r="46" spans="1:3" ht="113.25" customHeight="1" x14ac:dyDescent="0.3">
      <c r="A46" s="16"/>
      <c r="B46" s="10" t="s">
        <v>30</v>
      </c>
      <c r="C46" s="10"/>
    </row>
  </sheetData>
  <mergeCells count="34">
    <mergeCell ref="A42:C42"/>
    <mergeCell ref="B43:C43"/>
    <mergeCell ref="A45:C45"/>
    <mergeCell ref="B46:C46"/>
    <mergeCell ref="B35:C35"/>
    <mergeCell ref="B36:C36"/>
    <mergeCell ref="A38:C38"/>
    <mergeCell ref="B39:C39"/>
    <mergeCell ref="B40:C40"/>
    <mergeCell ref="B29:C29"/>
    <mergeCell ref="B30:C30"/>
    <mergeCell ref="A32:C32"/>
    <mergeCell ref="B33:C33"/>
    <mergeCell ref="B34:C34"/>
    <mergeCell ref="B22:C22"/>
    <mergeCell ref="A24:C24"/>
    <mergeCell ref="B25:C25"/>
    <mergeCell ref="B26:C26"/>
    <mergeCell ref="A28:C28"/>
    <mergeCell ref="B17:C17"/>
    <mergeCell ref="B18:C18"/>
    <mergeCell ref="B19:C19"/>
    <mergeCell ref="B20:C20"/>
    <mergeCell ref="B21:C21"/>
    <mergeCell ref="B11:C11"/>
    <mergeCell ref="A13:C13"/>
    <mergeCell ref="B14:C14"/>
    <mergeCell ref="B15:C15"/>
    <mergeCell ref="B16:C16"/>
    <mergeCell ref="A5:D5"/>
    <mergeCell ref="A6:D6"/>
    <mergeCell ref="A7:D7"/>
    <mergeCell ref="A9:C9"/>
    <mergeCell ref="B10:C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7"/>
  <sheetViews>
    <sheetView showGridLines="0" topLeftCell="A11" zoomScaleNormal="100" workbookViewId="0">
      <selection activeCell="J29" sqref="J29"/>
    </sheetView>
  </sheetViews>
  <sheetFormatPr defaultColWidth="8.6640625" defaultRowHeight="14.4" x14ac:dyDescent="0.3"/>
  <cols>
    <col min="1" max="1" width="2" customWidth="1"/>
    <col min="2" max="4" width="30" customWidth="1"/>
    <col min="5" max="5" width="2" customWidth="1"/>
  </cols>
  <sheetData>
    <row r="1" spans="2:4" s="15" customFormat="1" ht="14.25" customHeight="1" x14ac:dyDescent="0.3"/>
    <row r="2" spans="2:4" s="15" customFormat="1" ht="30" customHeight="1" x14ac:dyDescent="0.3"/>
    <row r="3" spans="2:4" s="15" customFormat="1" ht="21.75" customHeight="1" x14ac:dyDescent="0.3"/>
    <row r="4" spans="2:4" s="15" customFormat="1" ht="21.75" customHeight="1" x14ac:dyDescent="0.3"/>
    <row r="7" spans="2:4" ht="60" customHeight="1" x14ac:dyDescent="0.3">
      <c r="B7" s="13" t="s">
        <v>31</v>
      </c>
      <c r="C7" s="13"/>
      <c r="D7" s="13"/>
    </row>
    <row r="8" spans="2:4" ht="34.5" customHeight="1" x14ac:dyDescent="0.3">
      <c r="B8" s="9" t="s">
        <v>32</v>
      </c>
      <c r="C8" s="9"/>
      <c r="D8" s="9"/>
    </row>
    <row r="11" spans="2:4" ht="21.75" customHeight="1" x14ac:dyDescent="0.3">
      <c r="B11" s="8" t="s">
        <v>33</v>
      </c>
      <c r="C11" s="8"/>
      <c r="D11" s="8"/>
    </row>
    <row r="12" spans="2:4" ht="21.75" customHeight="1" x14ac:dyDescent="0.3">
      <c r="B12" s="17" t="s">
        <v>34</v>
      </c>
      <c r="C12" s="7"/>
      <c r="D12" s="7"/>
    </row>
    <row r="13" spans="2:4" ht="21.75" customHeight="1" x14ac:dyDescent="0.3">
      <c r="B13" s="17" t="s">
        <v>35</v>
      </c>
      <c r="C13" s="7"/>
      <c r="D13" s="7"/>
    </row>
    <row r="14" spans="2:4" ht="21.75" customHeight="1" x14ac:dyDescent="0.3">
      <c r="B14" s="17" t="s">
        <v>36</v>
      </c>
      <c r="C14" s="7"/>
      <c r="D14" s="7"/>
    </row>
    <row r="15" spans="2:4" ht="21.75" customHeight="1" x14ac:dyDescent="0.3">
      <c r="B15" s="17" t="s">
        <v>37</v>
      </c>
      <c r="C15" s="7"/>
      <c r="D15" s="7"/>
    </row>
    <row r="16" spans="2:4" ht="21.75" customHeight="1" x14ac:dyDescent="0.3">
      <c r="B16" s="17" t="s">
        <v>38</v>
      </c>
      <c r="C16" s="7"/>
      <c r="D16" s="7"/>
    </row>
    <row r="17" spans="2:4" ht="21.75" customHeight="1" x14ac:dyDescent="0.3">
      <c r="B17" s="17" t="s">
        <v>39</v>
      </c>
      <c r="C17" s="7"/>
      <c r="D17" s="7"/>
    </row>
    <row r="18" spans="2:4" ht="21.75" customHeight="1" x14ac:dyDescent="0.3">
      <c r="B18" s="17" t="s">
        <v>40</v>
      </c>
      <c r="C18" s="7"/>
      <c r="D18" s="7"/>
    </row>
    <row r="20" spans="2:4" ht="21.75" customHeight="1" x14ac:dyDescent="0.3">
      <c r="B20" s="8" t="s">
        <v>41</v>
      </c>
      <c r="C20" s="8"/>
      <c r="D20" s="8"/>
    </row>
    <row r="21" spans="2:4" ht="18" customHeight="1" x14ac:dyDescent="0.3">
      <c r="B21" s="18" t="s">
        <v>42</v>
      </c>
      <c r="C21" s="6" t="s">
        <v>43</v>
      </c>
      <c r="D21" s="6"/>
    </row>
    <row r="22" spans="2:4" ht="18" customHeight="1" x14ac:dyDescent="0.3">
      <c r="B22" s="18" t="s">
        <v>44</v>
      </c>
      <c r="C22" s="6" t="s">
        <v>45</v>
      </c>
      <c r="D22" s="6"/>
    </row>
    <row r="23" spans="2:4" ht="18" customHeight="1" x14ac:dyDescent="0.3">
      <c r="B23" s="18" t="s">
        <v>46</v>
      </c>
      <c r="C23" s="6" t="s">
        <v>47</v>
      </c>
      <c r="D23" s="6"/>
    </row>
    <row r="24" spans="2:4" ht="18" customHeight="1" x14ac:dyDescent="0.3">
      <c r="B24" s="18" t="s">
        <v>48</v>
      </c>
      <c r="C24" s="6" t="s">
        <v>49</v>
      </c>
      <c r="D24" s="6"/>
    </row>
    <row r="25" spans="2:4" ht="18" customHeight="1" x14ac:dyDescent="0.3">
      <c r="B25" s="18" t="s">
        <v>50</v>
      </c>
      <c r="C25" s="6" t="s">
        <v>51</v>
      </c>
      <c r="D25" s="6"/>
    </row>
    <row r="26" spans="2:4" ht="18" customHeight="1" x14ac:dyDescent="0.3">
      <c r="B26" s="18" t="s">
        <v>52</v>
      </c>
      <c r="C26" s="6" t="s">
        <v>53</v>
      </c>
      <c r="D26" s="6"/>
    </row>
    <row r="27" spans="2:4" ht="18" customHeight="1" x14ac:dyDescent="0.3">
      <c r="B27" s="18" t="s">
        <v>54</v>
      </c>
      <c r="C27" s="6" t="s">
        <v>55</v>
      </c>
      <c r="D27" s="6"/>
    </row>
    <row r="28" spans="2:4" ht="18" customHeight="1" x14ac:dyDescent="0.3">
      <c r="B28" s="18" t="s">
        <v>56</v>
      </c>
      <c r="C28" s="6" t="s">
        <v>57</v>
      </c>
      <c r="D28" s="6"/>
    </row>
    <row r="30" spans="2:4" ht="19.5" customHeight="1" x14ac:dyDescent="0.3">
      <c r="B30" s="8" t="s">
        <v>58</v>
      </c>
      <c r="C30" s="8"/>
      <c r="D30" s="8"/>
    </row>
    <row r="31" spans="2:4" ht="18" customHeight="1" x14ac:dyDescent="0.3">
      <c r="B31" s="19"/>
      <c r="C31" s="5" t="s">
        <v>59</v>
      </c>
      <c r="D31" s="5"/>
    </row>
    <row r="32" spans="2:4" ht="18" customHeight="1" x14ac:dyDescent="0.3">
      <c r="B32" s="20"/>
      <c r="C32" s="5" t="s">
        <v>60</v>
      </c>
      <c r="D32" s="5"/>
    </row>
    <row r="33" spans="2:4" ht="18" customHeight="1" x14ac:dyDescent="0.3">
      <c r="B33" s="21"/>
      <c r="C33" s="5" t="s">
        <v>61</v>
      </c>
      <c r="D33" s="5"/>
    </row>
    <row r="34" spans="2:4" ht="18" customHeight="1" x14ac:dyDescent="0.3">
      <c r="B34" s="22"/>
      <c r="C34" s="5" t="s">
        <v>62</v>
      </c>
      <c r="D34" s="5"/>
    </row>
    <row r="37" spans="2:4" ht="14.25" customHeight="1" x14ac:dyDescent="0.3">
      <c r="B37" s="4"/>
      <c r="C37" s="4"/>
      <c r="D37" s="4"/>
    </row>
  </sheetData>
  <mergeCells count="25">
    <mergeCell ref="C31:D31"/>
    <mergeCell ref="C32:D32"/>
    <mergeCell ref="C33:D33"/>
    <mergeCell ref="C34:D34"/>
    <mergeCell ref="B37:D37"/>
    <mergeCell ref="C25:D25"/>
    <mergeCell ref="C26:D26"/>
    <mergeCell ref="C27:D27"/>
    <mergeCell ref="C28:D28"/>
    <mergeCell ref="B30:D30"/>
    <mergeCell ref="B20:D20"/>
    <mergeCell ref="C21:D21"/>
    <mergeCell ref="C22:D22"/>
    <mergeCell ref="C23:D23"/>
    <mergeCell ref="C24:D24"/>
    <mergeCell ref="C14:D14"/>
    <mergeCell ref="C15:D15"/>
    <mergeCell ref="C16:D16"/>
    <mergeCell ref="C17:D17"/>
    <mergeCell ref="C18:D18"/>
    <mergeCell ref="B7:D7"/>
    <mergeCell ref="B8:D8"/>
    <mergeCell ref="B11:D11"/>
    <mergeCell ref="C12:D12"/>
    <mergeCell ref="C13:D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showGridLines="0" zoomScaleNormal="100" workbookViewId="0">
      <pane ySplit="8" topLeftCell="A9" activePane="bottomLeft" state="frozen"/>
      <selection pane="bottomLeft" activeCell="C21" sqref="C21"/>
    </sheetView>
  </sheetViews>
  <sheetFormatPr defaultColWidth="8.6640625" defaultRowHeight="14.4" x14ac:dyDescent="0.3"/>
  <cols>
    <col min="1" max="1" width="2" customWidth="1"/>
    <col min="2" max="2" width="42" customWidth="1"/>
    <col min="3" max="3" width="70" customWidth="1"/>
    <col min="4" max="4" width="30" customWidth="1"/>
    <col min="5" max="5" width="2" customWidth="1"/>
  </cols>
  <sheetData>
    <row r="1" spans="1:5" s="15" customFormat="1" ht="14.25" customHeight="1" x14ac:dyDescent="0.3"/>
    <row r="2" spans="1:5" s="15" customFormat="1" ht="30" customHeight="1" x14ac:dyDescent="0.3"/>
    <row r="3" spans="1:5" s="15" customFormat="1" ht="21.75" customHeight="1" x14ac:dyDescent="0.3"/>
    <row r="4" spans="1:5" s="15" customFormat="1" ht="21.75" customHeight="1" x14ac:dyDescent="0.3"/>
    <row r="5" spans="1:5" ht="27.75" customHeight="1" x14ac:dyDescent="0.3">
      <c r="A5" s="14"/>
      <c r="B5" s="14"/>
      <c r="C5" s="14"/>
      <c r="D5" s="14"/>
      <c r="E5" s="14"/>
    </row>
    <row r="6" spans="1:5" ht="25.5" customHeight="1" x14ac:dyDescent="0.3">
      <c r="A6" s="13" t="s">
        <v>63</v>
      </c>
      <c r="B6" s="13"/>
      <c r="C6" s="13"/>
      <c r="D6" s="13"/>
      <c r="E6" s="13"/>
    </row>
    <row r="7" spans="1:5" ht="31.5" customHeight="1" x14ac:dyDescent="0.3">
      <c r="A7" s="12" t="s">
        <v>64</v>
      </c>
      <c r="B7" s="12"/>
      <c r="C7" s="12"/>
      <c r="D7" s="12"/>
      <c r="E7" s="12"/>
    </row>
    <row r="9" spans="1:5" ht="21.75" customHeight="1" x14ac:dyDescent="0.3">
      <c r="A9" s="11" t="s">
        <v>65</v>
      </c>
      <c r="B9" s="11"/>
      <c r="C9" s="11"/>
      <c r="D9" s="11"/>
    </row>
    <row r="10" spans="1:5" ht="24" customHeight="1" x14ac:dyDescent="0.3">
      <c r="A10" s="16"/>
      <c r="B10" s="17" t="s">
        <v>66</v>
      </c>
      <c r="C10" s="7"/>
      <c r="D10" s="7"/>
    </row>
    <row r="11" spans="1:5" ht="24" customHeight="1" x14ac:dyDescent="0.3">
      <c r="A11" s="16"/>
      <c r="B11" s="17" t="s">
        <v>67</v>
      </c>
      <c r="C11" s="7"/>
      <c r="D11" s="7"/>
    </row>
    <row r="12" spans="1:5" ht="24" customHeight="1" x14ac:dyDescent="0.3">
      <c r="A12" s="16"/>
      <c r="B12" s="17" t="s">
        <v>68</v>
      </c>
      <c r="C12" s="7"/>
      <c r="D12" s="7"/>
    </row>
    <row r="13" spans="1:5" ht="24" customHeight="1" x14ac:dyDescent="0.3">
      <c r="A13" s="16"/>
      <c r="B13" s="17" t="s">
        <v>69</v>
      </c>
      <c r="C13" s="3"/>
      <c r="D13" s="3"/>
    </row>
    <row r="14" spans="1:5" ht="35.25" customHeight="1" x14ac:dyDescent="0.3">
      <c r="A14" s="16"/>
      <c r="B14" s="17" t="s">
        <v>70</v>
      </c>
      <c r="C14" s="3"/>
      <c r="D14" s="3"/>
    </row>
    <row r="15" spans="1:5" ht="24" customHeight="1" x14ac:dyDescent="0.3">
      <c r="A15" s="16"/>
      <c r="B15" s="17" t="s">
        <v>71</v>
      </c>
      <c r="C15" s="7"/>
      <c r="D15" s="7"/>
    </row>
    <row r="17" spans="1:4" ht="21.75" customHeight="1" x14ac:dyDescent="0.3">
      <c r="A17" s="11" t="s">
        <v>72</v>
      </c>
      <c r="B17" s="11"/>
      <c r="C17" s="11"/>
      <c r="D17" s="11"/>
    </row>
    <row r="18" spans="1:4" ht="24" customHeight="1" x14ac:dyDescent="0.3">
      <c r="A18" s="16"/>
      <c r="B18" s="17" t="s">
        <v>73</v>
      </c>
      <c r="C18" s="7"/>
      <c r="D18" s="7"/>
    </row>
    <row r="19" spans="1:4" ht="24" customHeight="1" x14ac:dyDescent="0.3">
      <c r="A19" s="16"/>
      <c r="B19" s="17" t="s">
        <v>74</v>
      </c>
      <c r="C19" s="7"/>
      <c r="D19" s="7"/>
    </row>
    <row r="20" spans="1:4" ht="24" customHeight="1" x14ac:dyDescent="0.3">
      <c r="A20" s="16"/>
      <c r="B20" s="17" t="s">
        <v>75</v>
      </c>
      <c r="C20" s="3"/>
      <c r="D20" s="3"/>
    </row>
    <row r="21" spans="1:4" ht="24" customHeight="1" x14ac:dyDescent="0.3">
      <c r="A21" s="16"/>
      <c r="B21" s="17" t="s">
        <v>76</v>
      </c>
      <c r="C21" s="7"/>
      <c r="D21" s="7"/>
    </row>
    <row r="22" spans="1:4" ht="24" customHeight="1" x14ac:dyDescent="0.3">
      <c r="A22" s="16"/>
      <c r="B22" s="17" t="s">
        <v>77</v>
      </c>
      <c r="C22" s="3"/>
      <c r="D22" s="3"/>
    </row>
    <row r="23" spans="1:4" ht="24" customHeight="1" x14ac:dyDescent="0.3">
      <c r="A23" s="16"/>
      <c r="B23" s="17" t="s">
        <v>78</v>
      </c>
      <c r="C23" s="3"/>
      <c r="D23" s="3"/>
    </row>
    <row r="25" spans="1:4" ht="21.75" customHeight="1" x14ac:dyDescent="0.3">
      <c r="A25" s="11" t="s">
        <v>79</v>
      </c>
      <c r="B25" s="11"/>
      <c r="C25" s="11"/>
      <c r="D25" s="11"/>
    </row>
    <row r="26" spans="1:4" ht="24" customHeight="1" x14ac:dyDescent="0.3">
      <c r="A26" s="16"/>
      <c r="B26" s="17" t="s">
        <v>80</v>
      </c>
      <c r="C26" s="7"/>
      <c r="D26" s="7"/>
    </row>
    <row r="27" spans="1:4" ht="24" customHeight="1" x14ac:dyDescent="0.3">
      <c r="A27" s="16"/>
      <c r="B27" s="17" t="s">
        <v>81</v>
      </c>
      <c r="C27" s="7"/>
      <c r="D27" s="7"/>
    </row>
    <row r="28" spans="1:4" ht="24" customHeight="1" x14ac:dyDescent="0.3">
      <c r="A28" s="16"/>
      <c r="B28" s="17" t="s">
        <v>82</v>
      </c>
      <c r="C28" s="7"/>
      <c r="D28" s="7"/>
    </row>
    <row r="29" spans="1:4" ht="24" customHeight="1" x14ac:dyDescent="0.3">
      <c r="A29" s="16"/>
      <c r="B29" s="17" t="s">
        <v>83</v>
      </c>
      <c r="C29" s="3"/>
      <c r="D29" s="3"/>
    </row>
    <row r="30" spans="1:4" ht="24" customHeight="1" x14ac:dyDescent="0.3">
      <c r="A30" s="16"/>
      <c r="B30" s="17" t="s">
        <v>84</v>
      </c>
      <c r="C30" s="3"/>
      <c r="D30" s="3"/>
    </row>
    <row r="31" spans="1:4" ht="24" customHeight="1" x14ac:dyDescent="0.3">
      <c r="A31" s="16"/>
      <c r="B31" s="17" t="s">
        <v>85</v>
      </c>
      <c r="C31" s="3"/>
      <c r="D31" s="3"/>
    </row>
    <row r="33" spans="1:4" ht="21.75" customHeight="1" x14ac:dyDescent="0.3">
      <c r="A33" s="11" t="s">
        <v>86</v>
      </c>
      <c r="B33" s="11"/>
      <c r="C33" s="11"/>
      <c r="D33" s="11"/>
    </row>
    <row r="34" spans="1:4" ht="24" customHeight="1" x14ac:dyDescent="0.3">
      <c r="A34" s="16"/>
      <c r="B34" s="17" t="s">
        <v>87</v>
      </c>
      <c r="C34" s="3"/>
      <c r="D34" s="3"/>
    </row>
  </sheetData>
  <mergeCells count="26">
    <mergeCell ref="C34:D34"/>
    <mergeCell ref="C28:D28"/>
    <mergeCell ref="C29:D29"/>
    <mergeCell ref="C30:D30"/>
    <mergeCell ref="C31:D31"/>
    <mergeCell ref="A33:D33"/>
    <mergeCell ref="C22:D22"/>
    <mergeCell ref="C23:D23"/>
    <mergeCell ref="A25:D25"/>
    <mergeCell ref="C26:D26"/>
    <mergeCell ref="C27:D27"/>
    <mergeCell ref="A17:D17"/>
    <mergeCell ref="C18:D18"/>
    <mergeCell ref="C19:D19"/>
    <mergeCell ref="C20:D20"/>
    <mergeCell ref="C21:D21"/>
    <mergeCell ref="C11:D11"/>
    <mergeCell ref="C12:D12"/>
    <mergeCell ref="C13:D13"/>
    <mergeCell ref="C14:D14"/>
    <mergeCell ref="C15:D15"/>
    <mergeCell ref="A5:E5"/>
    <mergeCell ref="A6:E6"/>
    <mergeCell ref="A7:E7"/>
    <mergeCell ref="A9:D9"/>
    <mergeCell ref="C10:D10"/>
  </mergeCells>
  <dataValidations count="3">
    <dataValidation type="list" allowBlank="1" errorTitle="Valor inválido" error="Selecione uma opção da lista" sqref="C19" xr:uid="{00000000-0002-0000-0200-000000000000}">
      <formula1>"Reforma,Ampliação,Retrofit,Requalificação,Construção nova,Obra mista,Outro"</formula1>
      <formula2>0</formula2>
    </dataValidation>
    <dataValidation type="list" allowBlank="1" errorTitle="Valor inválido" error="Selecione uma opção da lista" sqref="C26" xr:uid="{00000000-0002-0000-0200-000001000000}">
      <formula1>"Estudo preliminar,Anteprojeto,Projeto básico,Projeto executivo,Modelagem PPP,Edital/Licitação,Contrato,Aditivo,Execução,Outro"</formula1>
      <formula2>0</formula2>
    </dataValidation>
    <dataValidation type="list" allowBlank="1" errorTitle="Valor inválido" error="Selecione uma opção da lista" sqref="C31" xr:uid="{00000000-0002-0000-0200-000002000000}">
      <formula1>"Sim,Não,Parcial,Não aplicável,Não informado"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showGridLines="0" zoomScaleNormal="100" workbookViewId="0">
      <pane ySplit="8" topLeftCell="A9" activePane="bottomLeft" state="frozen"/>
      <selection pane="bottomLeft" activeCell="D11" sqref="D11"/>
    </sheetView>
  </sheetViews>
  <sheetFormatPr defaultColWidth="8.6640625" defaultRowHeight="14.4" x14ac:dyDescent="0.3"/>
  <cols>
    <col min="1" max="1" width="2" customWidth="1"/>
    <col min="2" max="2" width="45" customWidth="1"/>
    <col min="3" max="3" width="16" customWidth="1"/>
    <col min="4" max="4" width="55" customWidth="1"/>
    <col min="5" max="5" width="30" customWidth="1"/>
    <col min="6" max="6" width="2" customWidth="1"/>
  </cols>
  <sheetData>
    <row r="1" spans="1:6" s="15" customFormat="1" ht="14.25" customHeight="1" x14ac:dyDescent="0.3"/>
    <row r="2" spans="1:6" s="15" customFormat="1" ht="30" customHeight="1" x14ac:dyDescent="0.3"/>
    <row r="3" spans="1:6" s="15" customFormat="1" ht="21.75" customHeight="1" x14ac:dyDescent="0.3"/>
    <row r="4" spans="1:6" s="15" customFormat="1" ht="21.75" customHeight="1" x14ac:dyDescent="0.3"/>
    <row r="5" spans="1:6" ht="27.75" customHeight="1" x14ac:dyDescent="0.3">
      <c r="A5" s="14"/>
      <c r="B5" s="14"/>
      <c r="C5" s="14"/>
      <c r="D5" s="14"/>
      <c r="E5" s="14"/>
      <c r="F5" s="14"/>
    </row>
    <row r="6" spans="1:6" ht="25.5" customHeight="1" x14ac:dyDescent="0.3">
      <c r="A6" s="13" t="s">
        <v>88</v>
      </c>
      <c r="B6" s="13"/>
      <c r="C6" s="13"/>
      <c r="D6" s="13"/>
      <c r="E6" s="13"/>
      <c r="F6" s="13"/>
    </row>
    <row r="7" spans="1:6" ht="31.5" customHeight="1" x14ac:dyDescent="0.3">
      <c r="A7" s="12" t="s">
        <v>89</v>
      </c>
      <c r="B7" s="12"/>
      <c r="C7" s="12"/>
      <c r="D7" s="12"/>
      <c r="E7" s="12"/>
      <c r="F7" s="12"/>
    </row>
    <row r="9" spans="1:6" ht="21.75" customHeight="1" x14ac:dyDescent="0.3">
      <c r="A9" s="11" t="s">
        <v>90</v>
      </c>
      <c r="B9" s="11"/>
      <c r="C9" s="11"/>
      <c r="D9" s="11"/>
      <c r="E9" s="11"/>
    </row>
    <row r="10" spans="1:6" ht="30" customHeight="1" x14ac:dyDescent="0.3">
      <c r="A10" s="23"/>
      <c r="B10" s="23" t="s">
        <v>91</v>
      </c>
      <c r="C10" s="23" t="s">
        <v>92</v>
      </c>
      <c r="D10" s="23" t="s">
        <v>93</v>
      </c>
      <c r="E10" s="23" t="s">
        <v>94</v>
      </c>
    </row>
    <row r="11" spans="1:6" ht="24" customHeight="1" x14ac:dyDescent="0.3">
      <c r="A11" s="16"/>
      <c r="B11" s="17" t="s">
        <v>95</v>
      </c>
      <c r="C11" s="24"/>
      <c r="D11" s="25"/>
      <c r="E11" s="25"/>
    </row>
    <row r="12" spans="1:6" ht="24" customHeight="1" x14ac:dyDescent="0.3">
      <c r="A12" s="16"/>
      <c r="B12" s="17" t="s">
        <v>96</v>
      </c>
      <c r="C12" s="24"/>
      <c r="D12" s="25"/>
      <c r="E12" s="25"/>
    </row>
    <row r="13" spans="1:6" ht="24" customHeight="1" x14ac:dyDescent="0.3">
      <c r="A13" s="16"/>
      <c r="B13" s="17" t="s">
        <v>97</v>
      </c>
      <c r="C13" s="24"/>
      <c r="D13" s="25"/>
      <c r="E13" s="25"/>
    </row>
    <row r="14" spans="1:6" ht="24" customHeight="1" x14ac:dyDescent="0.3">
      <c r="A14" s="16"/>
      <c r="B14" s="17" t="s">
        <v>98</v>
      </c>
      <c r="C14" s="24"/>
      <c r="D14" s="25"/>
      <c r="E14" s="25"/>
    </row>
    <row r="15" spans="1:6" ht="24" customHeight="1" x14ac:dyDescent="0.3">
      <c r="A15" s="16"/>
      <c r="B15" s="17" t="s">
        <v>99</v>
      </c>
      <c r="C15" s="24"/>
      <c r="D15" s="25"/>
      <c r="E15" s="25"/>
    </row>
    <row r="16" spans="1:6" ht="24" customHeight="1" x14ac:dyDescent="0.3">
      <c r="A16" s="16"/>
      <c r="B16" s="17" t="s">
        <v>100</v>
      </c>
      <c r="C16" s="24"/>
      <c r="D16" s="25"/>
      <c r="E16" s="25"/>
    </row>
    <row r="17" spans="1:5" ht="24" customHeight="1" x14ac:dyDescent="0.3">
      <c r="A17" s="16"/>
      <c r="B17" s="17" t="s">
        <v>101</v>
      </c>
      <c r="C17" s="24"/>
      <c r="D17" s="25"/>
      <c r="E17" s="25"/>
    </row>
    <row r="18" spans="1:5" ht="24" customHeight="1" x14ac:dyDescent="0.3">
      <c r="A18" s="16"/>
      <c r="B18" s="17" t="s">
        <v>102</v>
      </c>
      <c r="C18" s="24"/>
      <c r="D18" s="25"/>
      <c r="E18" s="25"/>
    </row>
    <row r="19" spans="1:5" ht="24" customHeight="1" x14ac:dyDescent="0.3">
      <c r="A19" s="16"/>
      <c r="B19" s="17" t="s">
        <v>103</v>
      </c>
      <c r="C19" s="24"/>
      <c r="D19" s="25"/>
      <c r="E19" s="25"/>
    </row>
    <row r="20" spans="1:5" ht="24" customHeight="1" x14ac:dyDescent="0.3">
      <c r="A20" s="16"/>
      <c r="B20" s="17" t="s">
        <v>104</v>
      </c>
      <c r="C20" s="24"/>
      <c r="D20" s="25"/>
      <c r="E20" s="25"/>
    </row>
    <row r="21" spans="1:5" ht="24" customHeight="1" x14ac:dyDescent="0.3">
      <c r="A21" s="16"/>
      <c r="B21" s="17" t="s">
        <v>105</v>
      </c>
      <c r="C21" s="24"/>
      <c r="D21" s="25"/>
      <c r="E21" s="25"/>
    </row>
    <row r="23" spans="1:5" ht="21.75" customHeight="1" x14ac:dyDescent="0.3">
      <c r="B23" s="17" t="s">
        <v>106</v>
      </c>
      <c r="C23" s="26">
        <f>COUNTIF(C11:C21,"Sim")</f>
        <v>0</v>
      </c>
    </row>
    <row r="25" spans="1:5" ht="21.75" customHeight="1" x14ac:dyDescent="0.3">
      <c r="A25" s="11" t="s">
        <v>107</v>
      </c>
      <c r="B25" s="11"/>
      <c r="C25" s="11"/>
      <c r="D25" s="11"/>
      <c r="E25" s="11"/>
    </row>
    <row r="26" spans="1:5" ht="24" customHeight="1" x14ac:dyDescent="0.3">
      <c r="A26" s="16"/>
      <c r="B26" s="17" t="s">
        <v>82</v>
      </c>
      <c r="C26" s="7"/>
      <c r="D26" s="7"/>
      <c r="E26" s="7"/>
    </row>
    <row r="27" spans="1:5" ht="24" customHeight="1" x14ac:dyDescent="0.3">
      <c r="A27" s="16"/>
      <c r="B27" s="17" t="s">
        <v>108</v>
      </c>
      <c r="C27" s="7"/>
      <c r="D27" s="7"/>
      <c r="E27" s="7"/>
    </row>
    <row r="28" spans="1:5" ht="24" customHeight="1" x14ac:dyDescent="0.3">
      <c r="A28" s="16"/>
      <c r="B28" s="17" t="s">
        <v>109</v>
      </c>
      <c r="C28" s="7"/>
      <c r="D28" s="7"/>
      <c r="E28" s="7"/>
    </row>
    <row r="29" spans="1:5" ht="24" customHeight="1" x14ac:dyDescent="0.3">
      <c r="A29" s="16"/>
      <c r="B29" s="17" t="s">
        <v>110</v>
      </c>
      <c r="C29" s="7"/>
      <c r="D29" s="7"/>
      <c r="E29" s="7"/>
    </row>
    <row r="30" spans="1:5" ht="24" customHeight="1" x14ac:dyDescent="0.3">
      <c r="A30" s="16"/>
      <c r="B30" s="17" t="s">
        <v>111</v>
      </c>
      <c r="C30" s="7"/>
      <c r="D30" s="7"/>
      <c r="E30" s="7"/>
    </row>
    <row r="31" spans="1:5" ht="24" customHeight="1" x14ac:dyDescent="0.3">
      <c r="A31" s="16"/>
      <c r="B31" s="17" t="s">
        <v>112</v>
      </c>
      <c r="C31" s="7"/>
      <c r="D31" s="7"/>
      <c r="E31" s="7"/>
    </row>
    <row r="32" spans="1:5" ht="24" customHeight="1" x14ac:dyDescent="0.3">
      <c r="A32" s="16"/>
      <c r="B32" s="17" t="s">
        <v>113</v>
      </c>
      <c r="C32" s="7"/>
      <c r="D32" s="7"/>
      <c r="E32" s="7"/>
    </row>
    <row r="33" spans="1:5" ht="24" customHeight="1" x14ac:dyDescent="0.3">
      <c r="A33" s="16"/>
      <c r="B33" s="17" t="s">
        <v>114</v>
      </c>
      <c r="C33" s="7"/>
      <c r="D33" s="7"/>
      <c r="E33" s="7"/>
    </row>
    <row r="34" spans="1:5" ht="24" customHeight="1" x14ac:dyDescent="0.3">
      <c r="A34" s="16"/>
      <c r="B34" s="17" t="s">
        <v>115</v>
      </c>
      <c r="C34" s="7"/>
      <c r="D34" s="7"/>
      <c r="E34" s="7"/>
    </row>
    <row r="35" spans="1:5" ht="24" customHeight="1" x14ac:dyDescent="0.3">
      <c r="A35" s="16"/>
      <c r="B35" s="17" t="s">
        <v>116</v>
      </c>
      <c r="C35" s="7"/>
      <c r="D35" s="7"/>
      <c r="E35" s="7"/>
    </row>
    <row r="36" spans="1:5" ht="24" customHeight="1" x14ac:dyDescent="0.3">
      <c r="A36" s="16"/>
      <c r="B36" s="17" t="s">
        <v>117</v>
      </c>
      <c r="C36" s="7"/>
      <c r="D36" s="7"/>
      <c r="E36" s="7"/>
    </row>
    <row r="37" spans="1:5" ht="24" customHeight="1" x14ac:dyDescent="0.3">
      <c r="A37" s="16"/>
      <c r="B37" s="17" t="s">
        <v>118</v>
      </c>
      <c r="C37" s="7"/>
      <c r="D37" s="7"/>
      <c r="E37" s="7"/>
    </row>
  </sheetData>
  <mergeCells count="17">
    <mergeCell ref="C36:E36"/>
    <mergeCell ref="C37:E37"/>
    <mergeCell ref="C31:E31"/>
    <mergeCell ref="C32:E32"/>
    <mergeCell ref="C33:E33"/>
    <mergeCell ref="C34:E34"/>
    <mergeCell ref="C35:E35"/>
    <mergeCell ref="C26:E26"/>
    <mergeCell ref="C27:E27"/>
    <mergeCell ref="C28:E28"/>
    <mergeCell ref="C29:E29"/>
    <mergeCell ref="C30:E30"/>
    <mergeCell ref="A5:F5"/>
    <mergeCell ref="A6:F6"/>
    <mergeCell ref="A7:F7"/>
    <mergeCell ref="A9:E9"/>
    <mergeCell ref="A25:E25"/>
  </mergeCells>
  <dataValidations count="1">
    <dataValidation type="list" allowBlank="1" sqref="C11:C21 C27 C29 C31:C34 C36:C37" xr:uid="{00000000-0002-0000-0300-000000000000}">
      <formula1>"Sim,Não,Parcial,Não aplicável,Não informado"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showGridLines="0" zoomScaleNormal="100" workbookViewId="0">
      <pane ySplit="8" topLeftCell="A9" activePane="bottomLeft" state="frozen"/>
      <selection pane="bottomLeft" activeCell="F30" sqref="F30"/>
    </sheetView>
  </sheetViews>
  <sheetFormatPr defaultColWidth="8.6640625" defaultRowHeight="14.4" x14ac:dyDescent="0.3"/>
  <cols>
    <col min="1" max="1" width="5.109375" customWidth="1"/>
    <col min="2" max="2" width="30" customWidth="1"/>
    <col min="3" max="4" width="18" customWidth="1"/>
    <col min="5" max="5" width="22" customWidth="1"/>
    <col min="6" max="6" width="45" customWidth="1"/>
    <col min="7" max="7" width="2" customWidth="1"/>
  </cols>
  <sheetData>
    <row r="1" spans="1:7" s="15" customFormat="1" ht="14.25" customHeight="1" x14ac:dyDescent="0.3"/>
    <row r="2" spans="1:7" s="15" customFormat="1" ht="30" customHeight="1" x14ac:dyDescent="0.3"/>
    <row r="3" spans="1:7" s="15" customFormat="1" ht="21.75" customHeight="1" x14ac:dyDescent="0.3"/>
    <row r="4" spans="1:7" s="15" customFormat="1" ht="21.75" customHeight="1" x14ac:dyDescent="0.3"/>
    <row r="5" spans="1:7" ht="27.75" customHeight="1" x14ac:dyDescent="0.3">
      <c r="A5" s="14"/>
      <c r="B5" s="14"/>
      <c r="C5" s="14"/>
      <c r="D5" s="14"/>
      <c r="E5" s="14"/>
      <c r="F5" s="14"/>
      <c r="G5" s="14"/>
    </row>
    <row r="6" spans="1:7" ht="25.5" customHeight="1" x14ac:dyDescent="0.3">
      <c r="A6" s="13" t="s">
        <v>119</v>
      </c>
      <c r="B6" s="13"/>
      <c r="C6" s="13"/>
      <c r="D6" s="13"/>
      <c r="E6" s="13"/>
      <c r="F6" s="13"/>
      <c r="G6" s="13"/>
    </row>
    <row r="7" spans="1:7" ht="31.5" customHeight="1" x14ac:dyDescent="0.3">
      <c r="A7" s="12" t="s">
        <v>120</v>
      </c>
      <c r="B7" s="12"/>
      <c r="C7" s="12"/>
      <c r="D7" s="12"/>
      <c r="E7" s="12"/>
      <c r="F7" s="12"/>
      <c r="G7" s="12"/>
    </row>
    <row r="9" spans="1:7" ht="21.75" customHeight="1" x14ac:dyDescent="0.3">
      <c r="A9" s="11" t="s">
        <v>121</v>
      </c>
      <c r="B9" s="11"/>
      <c r="C9" s="11"/>
      <c r="D9" s="11"/>
      <c r="E9" s="11"/>
      <c r="F9" s="11"/>
    </row>
    <row r="10" spans="1:7" ht="31.5" customHeight="1" x14ac:dyDescent="0.3">
      <c r="A10" s="23" t="s">
        <v>122</v>
      </c>
      <c r="B10" s="23" t="s">
        <v>123</v>
      </c>
      <c r="C10" s="23" t="s">
        <v>124</v>
      </c>
      <c r="D10" s="23" t="s">
        <v>125</v>
      </c>
      <c r="E10" s="23" t="s">
        <v>126</v>
      </c>
      <c r="F10" s="23" t="s">
        <v>127</v>
      </c>
    </row>
    <row r="11" spans="1:7" ht="25.5" customHeight="1" x14ac:dyDescent="0.3">
      <c r="A11" s="18">
        <v>1</v>
      </c>
      <c r="B11" s="25"/>
      <c r="C11" s="25"/>
      <c r="D11" s="25"/>
      <c r="E11" s="25"/>
      <c r="F11" s="25"/>
    </row>
    <row r="12" spans="1:7" ht="25.5" customHeight="1" x14ac:dyDescent="0.3">
      <c r="A12" s="18">
        <v>2</v>
      </c>
      <c r="B12" s="25"/>
      <c r="C12" s="25"/>
      <c r="D12" s="25"/>
      <c r="E12" s="25"/>
      <c r="F12" s="25"/>
    </row>
    <row r="13" spans="1:7" ht="25.5" customHeight="1" x14ac:dyDescent="0.3">
      <c r="A13" s="18">
        <v>3</v>
      </c>
      <c r="B13" s="25"/>
      <c r="C13" s="25"/>
      <c r="D13" s="25"/>
      <c r="E13" s="25"/>
      <c r="F13" s="25"/>
    </row>
    <row r="14" spans="1:7" ht="25.5" customHeight="1" x14ac:dyDescent="0.3">
      <c r="A14" s="18">
        <v>4</v>
      </c>
      <c r="B14" s="25"/>
      <c r="C14" s="25"/>
      <c r="D14" s="25"/>
      <c r="E14" s="25"/>
      <c r="F14" s="25"/>
    </row>
    <row r="15" spans="1:7" ht="25.5" customHeight="1" x14ac:dyDescent="0.3">
      <c r="A15" s="18">
        <v>5</v>
      </c>
      <c r="B15" s="25"/>
      <c r="C15" s="25"/>
      <c r="D15" s="25"/>
      <c r="E15" s="25"/>
      <c r="F15" s="25"/>
    </row>
    <row r="16" spans="1:7" ht="25.5" customHeight="1" x14ac:dyDescent="0.3">
      <c r="A16" s="18">
        <v>6</v>
      </c>
      <c r="B16" s="25"/>
      <c r="C16" s="25"/>
      <c r="D16" s="25"/>
      <c r="E16" s="25"/>
      <c r="F16" s="25"/>
    </row>
    <row r="17" spans="1:6" ht="25.5" customHeight="1" x14ac:dyDescent="0.3">
      <c r="A17" s="18">
        <v>7</v>
      </c>
      <c r="B17" s="25"/>
      <c r="C17" s="25"/>
      <c r="D17" s="25"/>
      <c r="E17" s="25"/>
      <c r="F17" s="25"/>
    </row>
    <row r="18" spans="1:6" ht="25.5" customHeight="1" x14ac:dyDescent="0.3">
      <c r="A18" s="18">
        <v>8</v>
      </c>
      <c r="B18" s="25"/>
      <c r="C18" s="25"/>
      <c r="D18" s="25"/>
      <c r="E18" s="25"/>
      <c r="F18" s="25"/>
    </row>
    <row r="19" spans="1:6" ht="25.5" customHeight="1" x14ac:dyDescent="0.3">
      <c r="A19" s="18">
        <v>9</v>
      </c>
      <c r="B19" s="25"/>
      <c r="C19" s="25"/>
      <c r="D19" s="25"/>
      <c r="E19" s="25"/>
      <c r="F19" s="25"/>
    </row>
    <row r="20" spans="1:6" ht="25.5" customHeight="1" x14ac:dyDescent="0.3">
      <c r="A20" s="18">
        <v>10</v>
      </c>
      <c r="B20" s="25"/>
      <c r="C20" s="25"/>
      <c r="D20" s="25"/>
      <c r="E20" s="25"/>
      <c r="F20" s="25"/>
    </row>
    <row r="22" spans="1:6" ht="21.75" customHeight="1" x14ac:dyDescent="0.3">
      <c r="A22" s="11" t="s">
        <v>128</v>
      </c>
      <c r="B22" s="11"/>
      <c r="C22" s="11"/>
      <c r="D22" s="11"/>
      <c r="E22" s="11"/>
      <c r="F22" s="11"/>
    </row>
    <row r="23" spans="1:6" ht="25.5" customHeight="1" x14ac:dyDescent="0.3">
      <c r="A23" s="16"/>
      <c r="B23" s="2" t="s">
        <v>129</v>
      </c>
      <c r="C23" s="2"/>
      <c r="D23" s="2"/>
      <c r="E23" s="24"/>
      <c r="F23" s="25"/>
    </row>
    <row r="24" spans="1:6" ht="25.5" customHeight="1" x14ac:dyDescent="0.3">
      <c r="A24" s="16"/>
      <c r="B24" s="2" t="s">
        <v>130</v>
      </c>
      <c r="C24" s="2"/>
      <c r="D24" s="2"/>
      <c r="E24" s="24"/>
      <c r="F24" s="25"/>
    </row>
    <row r="25" spans="1:6" ht="25.5" customHeight="1" x14ac:dyDescent="0.3">
      <c r="A25" s="16"/>
      <c r="B25" s="2" t="s">
        <v>131</v>
      </c>
      <c r="C25" s="2"/>
      <c r="D25" s="2"/>
      <c r="E25" s="24"/>
      <c r="F25" s="25"/>
    </row>
    <row r="26" spans="1:6" ht="25.5" customHeight="1" x14ac:dyDescent="0.3">
      <c r="A26" s="16"/>
      <c r="B26" s="2" t="s">
        <v>132</v>
      </c>
      <c r="C26" s="2"/>
      <c r="D26" s="2"/>
      <c r="E26" s="24"/>
      <c r="F26" s="25"/>
    </row>
    <row r="27" spans="1:6" ht="25.5" customHeight="1" x14ac:dyDescent="0.3">
      <c r="A27" s="16"/>
      <c r="B27" s="2" t="s">
        <v>133</v>
      </c>
      <c r="C27" s="2"/>
      <c r="D27" s="2"/>
      <c r="E27" s="24"/>
      <c r="F27" s="25"/>
    </row>
    <row r="28" spans="1:6" ht="25.5" customHeight="1" x14ac:dyDescent="0.3">
      <c r="A28" s="16"/>
      <c r="B28" s="2" t="s">
        <v>134</v>
      </c>
      <c r="C28" s="2"/>
      <c r="D28" s="2"/>
      <c r="E28" s="24"/>
      <c r="F28" s="25"/>
    </row>
    <row r="29" spans="1:6" ht="25.5" customHeight="1" x14ac:dyDescent="0.3">
      <c r="A29" s="16"/>
      <c r="B29" s="2" t="s">
        <v>135</v>
      </c>
      <c r="C29" s="2"/>
      <c r="D29" s="2"/>
      <c r="E29" s="24"/>
      <c r="F29" s="25"/>
    </row>
  </sheetData>
  <mergeCells count="12">
    <mergeCell ref="B28:D28"/>
    <mergeCell ref="B29:D29"/>
    <mergeCell ref="B23:D23"/>
    <mergeCell ref="B24:D24"/>
    <mergeCell ref="B25:D25"/>
    <mergeCell ref="B26:D26"/>
    <mergeCell ref="B27:D27"/>
    <mergeCell ref="A5:G5"/>
    <mergeCell ref="A6:G6"/>
    <mergeCell ref="A7:G7"/>
    <mergeCell ref="A9:F9"/>
    <mergeCell ref="A22:F22"/>
  </mergeCells>
  <dataValidations count="1">
    <dataValidation type="list" allowBlank="1" sqref="E23:E29" xr:uid="{00000000-0002-0000-0400-000000000000}">
      <formula1>"Sim,Não,Parcial,Não aplicável,Não informado"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showGridLines="0" zoomScaleNormal="100" workbookViewId="0">
      <pane ySplit="8" topLeftCell="A27" activePane="bottomLeft" state="frozen"/>
      <selection pane="bottomLeft" activeCell="A21" sqref="A21"/>
    </sheetView>
  </sheetViews>
  <sheetFormatPr defaultColWidth="8.6640625" defaultRowHeight="14.4" x14ac:dyDescent="0.3"/>
  <cols>
    <col min="1" max="1" width="2" customWidth="1"/>
    <col min="2" max="2" width="42" customWidth="1"/>
    <col min="3" max="3" width="16" customWidth="1"/>
    <col min="4" max="5" width="18" customWidth="1"/>
    <col min="6" max="6" width="38" customWidth="1"/>
    <col min="7" max="7" width="2" customWidth="1"/>
  </cols>
  <sheetData>
    <row r="1" spans="1:7" s="15" customFormat="1" ht="14.25" customHeight="1" x14ac:dyDescent="0.3"/>
    <row r="2" spans="1:7" s="15" customFormat="1" ht="30" customHeight="1" x14ac:dyDescent="0.3"/>
    <row r="3" spans="1:7" s="15" customFormat="1" ht="21.75" customHeight="1" x14ac:dyDescent="0.3"/>
    <row r="4" spans="1:7" s="15" customFormat="1" ht="21.75" customHeight="1" x14ac:dyDescent="0.3"/>
    <row r="5" spans="1:7" ht="27.75" customHeight="1" x14ac:dyDescent="0.3">
      <c r="A5" s="14"/>
      <c r="B5" s="14"/>
      <c r="C5" s="14"/>
      <c r="D5" s="14"/>
      <c r="E5" s="14"/>
      <c r="F5" s="14"/>
      <c r="G5" s="14"/>
    </row>
    <row r="6" spans="1:7" ht="25.5" customHeight="1" x14ac:dyDescent="0.3">
      <c r="A6" s="13" t="s">
        <v>136</v>
      </c>
      <c r="B6" s="13"/>
      <c r="C6" s="13"/>
      <c r="D6" s="13"/>
      <c r="E6" s="13"/>
      <c r="F6" s="13"/>
      <c r="G6" s="13"/>
    </row>
    <row r="7" spans="1:7" ht="31.5" customHeight="1" x14ac:dyDescent="0.3">
      <c r="A7" s="12" t="s">
        <v>137</v>
      </c>
      <c r="B7" s="12"/>
      <c r="C7" s="12"/>
      <c r="D7" s="12"/>
      <c r="E7" s="12"/>
      <c r="F7" s="12"/>
      <c r="G7" s="12"/>
    </row>
    <row r="9" spans="1:7" ht="21.75" customHeight="1" x14ac:dyDescent="0.3">
      <c r="A9" s="11" t="s">
        <v>138</v>
      </c>
      <c r="B9" s="11"/>
      <c r="C9" s="11"/>
      <c r="D9" s="11"/>
      <c r="E9" s="11"/>
      <c r="F9" s="11"/>
    </row>
    <row r="10" spans="1:7" ht="31.5" customHeight="1" x14ac:dyDescent="0.3">
      <c r="A10" s="23"/>
      <c r="B10" s="23" t="s">
        <v>139</v>
      </c>
      <c r="C10" s="23" t="s">
        <v>140</v>
      </c>
      <c r="D10" s="23" t="s">
        <v>141</v>
      </c>
      <c r="E10" s="23" t="s">
        <v>142</v>
      </c>
      <c r="F10" s="23" t="s">
        <v>143</v>
      </c>
    </row>
    <row r="11" spans="1:7" ht="24" customHeight="1" x14ac:dyDescent="0.3">
      <c r="A11" s="16"/>
      <c r="B11" s="17" t="s">
        <v>144</v>
      </c>
      <c r="C11" s="27"/>
      <c r="D11" s="28" t="s">
        <v>145</v>
      </c>
      <c r="E11" s="25"/>
      <c r="F11" s="25"/>
    </row>
    <row r="12" spans="1:7" ht="24" customHeight="1" x14ac:dyDescent="0.3">
      <c r="A12" s="16"/>
      <c r="B12" s="17" t="s">
        <v>146</v>
      </c>
      <c r="C12" s="27"/>
      <c r="D12" s="28" t="s">
        <v>147</v>
      </c>
      <c r="E12" s="25"/>
      <c r="F12" s="25"/>
    </row>
    <row r="13" spans="1:7" ht="24" customHeight="1" x14ac:dyDescent="0.3">
      <c r="A13" s="16"/>
      <c r="B13" s="17" t="s">
        <v>148</v>
      </c>
      <c r="C13" s="27"/>
      <c r="D13" s="28" t="s">
        <v>149</v>
      </c>
      <c r="E13" s="25"/>
      <c r="F13" s="25"/>
    </row>
    <row r="14" spans="1:7" ht="24" customHeight="1" x14ac:dyDescent="0.3">
      <c r="A14" s="16"/>
      <c r="B14" s="17" t="s">
        <v>150</v>
      </c>
      <c r="C14" s="27"/>
      <c r="D14" s="28" t="s">
        <v>151</v>
      </c>
      <c r="E14" s="25"/>
      <c r="F14" s="25"/>
    </row>
    <row r="15" spans="1:7" ht="24" customHeight="1" x14ac:dyDescent="0.3">
      <c r="A15" s="16"/>
      <c r="B15" s="17" t="s">
        <v>152</v>
      </c>
      <c r="C15" s="27"/>
      <c r="D15" s="28" t="s">
        <v>151</v>
      </c>
      <c r="E15" s="25"/>
      <c r="F15" s="25"/>
    </row>
    <row r="16" spans="1:7" ht="24" customHeight="1" x14ac:dyDescent="0.3">
      <c r="A16" s="16"/>
      <c r="B16" s="17" t="s">
        <v>153</v>
      </c>
      <c r="C16" s="27"/>
      <c r="D16" s="28" t="s">
        <v>151</v>
      </c>
      <c r="E16" s="25"/>
      <c r="F16" s="25"/>
    </row>
    <row r="17" spans="1:6" ht="24" customHeight="1" x14ac:dyDescent="0.3">
      <c r="A17" s="16"/>
      <c r="B17" s="17" t="s">
        <v>154</v>
      </c>
      <c r="C17" s="27"/>
      <c r="D17" s="28" t="s">
        <v>151</v>
      </c>
      <c r="E17" s="25"/>
      <c r="F17" s="25"/>
    </row>
    <row r="18" spans="1:6" ht="24" customHeight="1" x14ac:dyDescent="0.3">
      <c r="A18" s="16"/>
      <c r="B18" s="17" t="s">
        <v>155</v>
      </c>
      <c r="C18" s="27"/>
      <c r="D18" s="28" t="s">
        <v>145</v>
      </c>
      <c r="E18" s="25"/>
      <c r="F18" s="25"/>
    </row>
    <row r="19" spans="1:6" ht="24" customHeight="1" x14ac:dyDescent="0.3">
      <c r="A19" s="16"/>
      <c r="B19" s="17" t="s">
        <v>156</v>
      </c>
      <c r="C19" s="27"/>
      <c r="D19" s="28" t="s">
        <v>145</v>
      </c>
      <c r="E19" s="25"/>
      <c r="F19" s="25"/>
    </row>
    <row r="21" spans="1:6" ht="21.75" customHeight="1" x14ac:dyDescent="0.3">
      <c r="A21" s="11" t="s">
        <v>157</v>
      </c>
      <c r="B21" s="11"/>
      <c r="C21" s="11"/>
      <c r="D21" s="11"/>
      <c r="E21" s="11"/>
      <c r="F21" s="11"/>
    </row>
    <row r="22" spans="1:6" ht="31.5" customHeight="1" x14ac:dyDescent="0.3">
      <c r="A22" s="23"/>
      <c r="B22" s="23" t="s">
        <v>158</v>
      </c>
      <c r="C22" s="23" t="s">
        <v>159</v>
      </c>
      <c r="D22" s="23" t="s">
        <v>160</v>
      </c>
      <c r="E22" s="23" t="s">
        <v>161</v>
      </c>
      <c r="F22" s="23" t="s">
        <v>162</v>
      </c>
    </row>
    <row r="23" spans="1:6" ht="21.75" customHeight="1" x14ac:dyDescent="0.3">
      <c r="A23" s="16"/>
      <c r="B23" s="17" t="s">
        <v>163</v>
      </c>
      <c r="C23" s="29"/>
      <c r="D23" s="30"/>
      <c r="E23" s="31"/>
      <c r="F23" s="25"/>
    </row>
    <row r="24" spans="1:6" ht="21.75" customHeight="1" x14ac:dyDescent="0.3">
      <c r="A24" s="16"/>
      <c r="B24" s="17" t="s">
        <v>164</v>
      </c>
      <c r="C24" s="29"/>
      <c r="D24" s="30"/>
      <c r="E24" s="31"/>
      <c r="F24" s="25"/>
    </row>
    <row r="25" spans="1:6" ht="21.75" customHeight="1" x14ac:dyDescent="0.3">
      <c r="A25" s="16"/>
      <c r="B25" s="17" t="s">
        <v>165</v>
      </c>
      <c r="C25" s="29"/>
      <c r="D25" s="30"/>
      <c r="E25" s="31"/>
      <c r="F25" s="25"/>
    </row>
    <row r="26" spans="1:6" ht="21.75" customHeight="1" x14ac:dyDescent="0.3">
      <c r="A26" s="16"/>
      <c r="B26" s="17" t="s">
        <v>166</v>
      </c>
      <c r="C26" s="29"/>
      <c r="D26" s="30"/>
      <c r="E26" s="31"/>
      <c r="F26" s="25"/>
    </row>
    <row r="27" spans="1:6" ht="21.75" customHeight="1" x14ac:dyDescent="0.3">
      <c r="A27" s="16"/>
      <c r="B27" s="17" t="s">
        <v>167</v>
      </c>
      <c r="C27" s="29"/>
      <c r="D27" s="30"/>
      <c r="E27" s="31"/>
      <c r="F27" s="25"/>
    </row>
    <row r="28" spans="1:6" ht="21.75" customHeight="1" x14ac:dyDescent="0.3">
      <c r="A28" s="16"/>
      <c r="B28" s="17" t="s">
        <v>168</v>
      </c>
      <c r="C28" s="29"/>
      <c r="D28" s="30"/>
      <c r="E28" s="31"/>
      <c r="F28" s="25"/>
    </row>
    <row r="29" spans="1:6" ht="26.25" customHeight="1" x14ac:dyDescent="0.3">
      <c r="A29" s="16"/>
      <c r="B29" s="17" t="s">
        <v>169</v>
      </c>
      <c r="C29" s="29"/>
      <c r="D29" s="30"/>
      <c r="E29" s="31"/>
      <c r="F29" s="25"/>
    </row>
    <row r="30" spans="1:6" ht="21.75" customHeight="1" x14ac:dyDescent="0.3">
      <c r="A30" s="16"/>
      <c r="B30" s="17" t="s">
        <v>170</v>
      </c>
      <c r="C30" s="29"/>
      <c r="D30" s="30"/>
      <c r="E30" s="31"/>
      <c r="F30" s="25"/>
    </row>
    <row r="31" spans="1:6" ht="21.75" customHeight="1" x14ac:dyDescent="0.3">
      <c r="A31" s="16"/>
      <c r="B31" s="17" t="s">
        <v>171</v>
      </c>
      <c r="C31" s="29"/>
      <c r="D31" s="30"/>
      <c r="E31" s="31"/>
      <c r="F31" s="25"/>
    </row>
    <row r="32" spans="1:6" ht="21.75" customHeight="1" x14ac:dyDescent="0.3">
      <c r="A32" s="16"/>
      <c r="B32" s="17" t="s">
        <v>172</v>
      </c>
      <c r="C32" s="29"/>
      <c r="D32" s="30"/>
      <c r="E32" s="31"/>
      <c r="F32" s="25"/>
    </row>
    <row r="33" spans="1:6" ht="21.75" customHeight="1" x14ac:dyDescent="0.3">
      <c r="A33" s="16"/>
      <c r="B33" s="17" t="s">
        <v>173</v>
      </c>
      <c r="C33" s="29"/>
      <c r="D33" s="30"/>
      <c r="E33" s="31"/>
      <c r="F33" s="25"/>
    </row>
    <row r="34" spans="1:6" ht="21.75" customHeight="1" x14ac:dyDescent="0.3">
      <c r="A34" s="16"/>
      <c r="B34" s="17" t="s">
        <v>174</v>
      </c>
      <c r="C34" s="29"/>
      <c r="D34" s="30"/>
      <c r="E34" s="31"/>
      <c r="F34" s="25"/>
    </row>
    <row r="35" spans="1:6" ht="21.75" customHeight="1" x14ac:dyDescent="0.3">
      <c r="A35" s="16"/>
      <c r="B35" s="17" t="s">
        <v>175</v>
      </c>
      <c r="C35" s="29"/>
      <c r="D35" s="30"/>
      <c r="E35" s="31"/>
      <c r="F35" s="25"/>
    </row>
    <row r="36" spans="1:6" ht="21.75" customHeight="1" x14ac:dyDescent="0.3">
      <c r="A36" s="16"/>
      <c r="B36" s="17" t="s">
        <v>176</v>
      </c>
      <c r="C36" s="29"/>
      <c r="D36" s="30"/>
      <c r="E36" s="31"/>
      <c r="F36" s="25"/>
    </row>
    <row r="37" spans="1:6" ht="21.75" customHeight="1" x14ac:dyDescent="0.3">
      <c r="A37" s="16"/>
      <c r="B37" s="17" t="s">
        <v>177</v>
      </c>
      <c r="C37" s="29"/>
      <c r="D37" s="30"/>
      <c r="E37" s="31"/>
      <c r="F37" s="25"/>
    </row>
    <row r="38" spans="1:6" ht="21.75" customHeight="1" x14ac:dyDescent="0.3">
      <c r="A38" s="16"/>
      <c r="B38" s="17" t="s">
        <v>178</v>
      </c>
      <c r="C38" s="29"/>
      <c r="D38" s="30"/>
      <c r="E38" s="31"/>
      <c r="F38" s="25"/>
    </row>
    <row r="39" spans="1:6" ht="21.75" customHeight="1" x14ac:dyDescent="0.3">
      <c r="A39" s="16"/>
      <c r="B39" s="17" t="s">
        <v>179</v>
      </c>
      <c r="C39" s="29"/>
      <c r="D39" s="30"/>
      <c r="E39" s="31"/>
      <c r="F39" s="25"/>
    </row>
    <row r="40" spans="1:6" ht="24" customHeight="1" x14ac:dyDescent="0.3">
      <c r="B40" s="32" t="s">
        <v>180</v>
      </c>
      <c r="C40" s="26">
        <f>COUNTIF(C23:C39,"Sim")</f>
        <v>0</v>
      </c>
      <c r="D40" s="33">
        <f>SUM(D23:D39)</f>
        <v>0</v>
      </c>
      <c r="E40" s="34">
        <f>SUM(E23:E39)</f>
        <v>0</v>
      </c>
      <c r="F40" s="35"/>
    </row>
  </sheetData>
  <mergeCells count="5">
    <mergeCell ref="A5:G5"/>
    <mergeCell ref="A6:G6"/>
    <mergeCell ref="A7:G7"/>
    <mergeCell ref="A9:F9"/>
    <mergeCell ref="A21:F21"/>
  </mergeCells>
  <dataValidations count="1">
    <dataValidation type="list" allowBlank="1" sqref="C23:C39" xr:uid="{00000000-0002-0000-0500-000000000000}">
      <formula1>"Sim,Não,Parcial,Não aplicável,Não informado"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showGridLines="0" zoomScaleNormal="100" workbookViewId="0">
      <pane ySplit="8" topLeftCell="A24" activePane="bottomLeft" state="frozen"/>
      <selection pane="bottomLeft" activeCell="D11" sqref="D11"/>
    </sheetView>
  </sheetViews>
  <sheetFormatPr defaultColWidth="8.6640625" defaultRowHeight="14.4" x14ac:dyDescent="0.3"/>
  <cols>
    <col min="1" max="1" width="2" customWidth="1"/>
    <col min="2" max="2" width="38" customWidth="1"/>
    <col min="3" max="3" width="45" customWidth="1"/>
    <col min="4" max="4" width="22" customWidth="1"/>
    <col min="5" max="5" width="15.44140625" customWidth="1"/>
  </cols>
  <sheetData>
    <row r="1" spans="1:6" s="15" customFormat="1" ht="14.25" customHeight="1" x14ac:dyDescent="0.3"/>
    <row r="2" spans="1:6" s="15" customFormat="1" ht="30" customHeight="1" x14ac:dyDescent="0.3"/>
    <row r="3" spans="1:6" s="15" customFormat="1" ht="21.75" customHeight="1" x14ac:dyDescent="0.3"/>
    <row r="4" spans="1:6" s="15" customFormat="1" ht="21.75" customHeight="1" x14ac:dyDescent="0.3"/>
    <row r="5" spans="1:6" ht="27.75" customHeight="1" x14ac:dyDescent="0.3">
      <c r="A5" s="14"/>
      <c r="B5" s="14"/>
      <c r="C5" s="14"/>
      <c r="D5" s="14"/>
      <c r="E5" s="14"/>
    </row>
    <row r="6" spans="1:6" ht="25.5" customHeight="1" x14ac:dyDescent="0.3">
      <c r="A6" s="13" t="s">
        <v>181</v>
      </c>
      <c r="B6" s="13"/>
      <c r="C6" s="13"/>
      <c r="D6" s="13"/>
      <c r="E6" s="13"/>
      <c r="F6" s="36"/>
    </row>
    <row r="7" spans="1:6" ht="31.5" customHeight="1" x14ac:dyDescent="0.3">
      <c r="A7" s="12" t="s">
        <v>182</v>
      </c>
      <c r="B7" s="12"/>
      <c r="C7" s="12"/>
      <c r="D7" s="12"/>
      <c r="E7" s="12"/>
      <c r="F7" s="36"/>
    </row>
    <row r="9" spans="1:6" ht="21.75" customHeight="1" x14ac:dyDescent="0.3">
      <c r="A9" s="11" t="s">
        <v>183</v>
      </c>
      <c r="B9" s="11"/>
      <c r="C9" s="11"/>
      <c r="D9" s="11"/>
      <c r="E9" s="11"/>
    </row>
    <row r="10" spans="1:6" ht="31.5" customHeight="1" x14ac:dyDescent="0.3">
      <c r="A10" s="23"/>
      <c r="B10" s="23" t="s">
        <v>184</v>
      </c>
      <c r="C10" s="23" t="s">
        <v>185</v>
      </c>
      <c r="D10" s="23" t="s">
        <v>186</v>
      </c>
      <c r="E10" s="23" t="s">
        <v>187</v>
      </c>
    </row>
    <row r="11" spans="1:6" ht="62.25" customHeight="1" x14ac:dyDescent="0.3">
      <c r="A11" s="16"/>
      <c r="B11" s="37" t="s">
        <v>188</v>
      </c>
      <c r="C11" s="38" t="str">
        <f t="array" ref="C11">IFERROR(_xlfn.TEXTJOIN("; ",TRUE(),_xlfn._xlws.FILTER('2. Metodologia'!B11:B21,'2. Metodologia'!C11:C21="Sim")),"—")</f>
        <v>—</v>
      </c>
      <c r="D11" s="39"/>
      <c r="E11" s="24"/>
    </row>
    <row r="12" spans="1:6" ht="31.5" customHeight="1" x14ac:dyDescent="0.3">
      <c r="A12" s="16"/>
      <c r="B12" s="37" t="s">
        <v>189</v>
      </c>
      <c r="C12" s="38" t="str">
        <f t="array" ref="C12">IFERROR(_xlfn.TEXTJOIN("; ",TRUE(),_xlfn._xlws.FILTER('3. Referências'!B11:B20,'3. Referências'!B11:B20&lt;&gt;"")),"—")</f>
        <v>—</v>
      </c>
      <c r="D12" s="39"/>
      <c r="E12" s="24"/>
    </row>
    <row r="13" spans="1:6" ht="31.5" customHeight="1" x14ac:dyDescent="0.3">
      <c r="A13" s="16"/>
      <c r="B13" s="37" t="s">
        <v>190</v>
      </c>
      <c r="C13" s="38" t="str">
        <f>IF('2. Metodologia'!D26="","—",'2. Metodologia'!D26)</f>
        <v>—</v>
      </c>
      <c r="D13" s="39"/>
      <c r="E13" s="24"/>
    </row>
    <row r="14" spans="1:6" ht="31.5" customHeight="1" x14ac:dyDescent="0.3">
      <c r="A14" s="16"/>
      <c r="B14" s="37" t="s">
        <v>191</v>
      </c>
      <c r="C14" s="38" t="str">
        <f>IF('4. Componentes'!C14="","—",'4. Componentes'!C14&amp;"%")</f>
        <v>—</v>
      </c>
      <c r="D14" s="39"/>
      <c r="E14" s="24"/>
    </row>
    <row r="15" spans="1:6" ht="31.5" customHeight="1" x14ac:dyDescent="0.3">
      <c r="A15" s="16"/>
      <c r="B15" s="37" t="s">
        <v>192</v>
      </c>
      <c r="C15" s="38" t="str">
        <f>IF('4. Componentes'!C15="","—",'4. Componentes'!C15&amp;"%")</f>
        <v>—</v>
      </c>
      <c r="D15" s="39"/>
      <c r="E15" s="24"/>
    </row>
    <row r="16" spans="1:6" ht="31.5" customHeight="1" x14ac:dyDescent="0.3">
      <c r="A16" s="16"/>
      <c r="B16" s="37" t="s">
        <v>193</v>
      </c>
      <c r="C16" s="38" t="str">
        <f>IF('2. Metodologia'!D35="","—",'2. Metodologia'!D35)</f>
        <v>—</v>
      </c>
      <c r="D16" s="39"/>
      <c r="E16" s="24"/>
    </row>
    <row r="17" spans="1:5" ht="31.5" customHeight="1" x14ac:dyDescent="0.3">
      <c r="A17" s="16"/>
      <c r="B17" s="37" t="s">
        <v>194</v>
      </c>
      <c r="C17" s="38" t="str">
        <f>IF('4. Componentes'!C13="","—",'4. Componentes'!C13&amp;" R$/m²")</f>
        <v>—</v>
      </c>
      <c r="D17" s="39"/>
      <c r="E17" s="24"/>
    </row>
    <row r="18" spans="1:5" ht="31.5" customHeight="1" x14ac:dyDescent="0.3">
      <c r="A18" s="16"/>
      <c r="B18" s="37" t="s">
        <v>195</v>
      </c>
      <c r="C18" s="38" t="str">
        <f>IF('4. Componentes'!C16="","—",'4. Componentes'!C16&amp;"%")</f>
        <v>—</v>
      </c>
      <c r="D18" s="39"/>
      <c r="E18" s="24"/>
    </row>
    <row r="19" spans="1:5" ht="31.5" customHeight="1" x14ac:dyDescent="0.3">
      <c r="A19" s="16"/>
      <c r="B19" s="37" t="s">
        <v>196</v>
      </c>
      <c r="C19" s="38" t="str">
        <f>IF('2. Metodologia'!D14="","—",'2. Metodologia'!D14)</f>
        <v>—</v>
      </c>
      <c r="D19" s="39"/>
      <c r="E19" s="24"/>
    </row>
    <row r="20" spans="1:5" ht="31.5" customHeight="1" x14ac:dyDescent="0.3">
      <c r="A20" s="16"/>
      <c r="B20" s="37" t="s">
        <v>197</v>
      </c>
      <c r="C20" s="38" t="str">
        <f>IF('2. Metodologia'!D16="","—",'2. Metodologia'!D16)</f>
        <v>—</v>
      </c>
      <c r="D20" s="39"/>
      <c r="E20" s="24"/>
    </row>
    <row r="22" spans="1:5" ht="21.75" customHeight="1" x14ac:dyDescent="0.3">
      <c r="A22" s="11" t="s">
        <v>198</v>
      </c>
      <c r="B22" s="11"/>
      <c r="C22" s="11"/>
      <c r="D22" s="11"/>
      <c r="E22" s="11"/>
    </row>
    <row r="23" spans="1:5" ht="30" customHeight="1" x14ac:dyDescent="0.3">
      <c r="A23" s="16"/>
      <c r="B23" s="40" t="s">
        <v>199</v>
      </c>
      <c r="D23" s="1"/>
      <c r="E23" s="1"/>
    </row>
    <row r="24" spans="1:5" ht="30" customHeight="1" x14ac:dyDescent="0.3">
      <c r="A24" s="16"/>
      <c r="B24" s="40" t="s">
        <v>200</v>
      </c>
      <c r="D24" s="85"/>
      <c r="E24" s="85"/>
    </row>
    <row r="25" spans="1:5" ht="30" customHeight="1" x14ac:dyDescent="0.3">
      <c r="A25" s="16"/>
      <c r="B25" s="40" t="s">
        <v>201</v>
      </c>
      <c r="D25" s="1"/>
      <c r="E25" s="1"/>
    </row>
    <row r="26" spans="1:5" ht="30" customHeight="1" x14ac:dyDescent="0.3">
      <c r="A26" s="16"/>
      <c r="B26" s="40" t="s">
        <v>202</v>
      </c>
      <c r="D26" s="1"/>
      <c r="E26" s="1"/>
    </row>
    <row r="27" spans="1:5" ht="30" customHeight="1" x14ac:dyDescent="0.3">
      <c r="A27" s="16"/>
      <c r="B27" s="40" t="s">
        <v>203</v>
      </c>
      <c r="D27" s="1"/>
      <c r="E27" s="1"/>
    </row>
    <row r="28" spans="1:5" ht="30" customHeight="1" x14ac:dyDescent="0.3">
      <c r="A28" s="16"/>
      <c r="B28" s="40" t="s">
        <v>204</v>
      </c>
      <c r="D28" s="1"/>
      <c r="E28" s="1"/>
    </row>
    <row r="29" spans="1:5" ht="30" customHeight="1" x14ac:dyDescent="0.3">
      <c r="A29" s="16"/>
      <c r="B29" s="40" t="s">
        <v>205</v>
      </c>
      <c r="D29" s="1"/>
      <c r="E29" s="1"/>
    </row>
    <row r="31" spans="1:5" ht="21.75" customHeight="1" x14ac:dyDescent="0.3">
      <c r="A31" s="11" t="s">
        <v>206</v>
      </c>
      <c r="B31" s="11"/>
      <c r="C31" s="11"/>
      <c r="D31" s="11"/>
      <c r="E31" s="11"/>
    </row>
    <row r="32" spans="1:5" ht="30" customHeight="1" x14ac:dyDescent="0.3">
      <c r="A32" s="16"/>
      <c r="B32" s="40" t="s">
        <v>207</v>
      </c>
      <c r="D32" s="1"/>
      <c r="E32" s="1"/>
    </row>
    <row r="33" spans="1:5" ht="60" customHeight="1" x14ac:dyDescent="0.3">
      <c r="A33" s="16"/>
      <c r="B33" s="40" t="s">
        <v>208</v>
      </c>
      <c r="D33" s="86"/>
      <c r="E33" s="86"/>
    </row>
  </sheetData>
  <mergeCells count="15">
    <mergeCell ref="D28:E28"/>
    <mergeCell ref="D29:E29"/>
    <mergeCell ref="A31:E31"/>
    <mergeCell ref="D32:E32"/>
    <mergeCell ref="D33:E33"/>
    <mergeCell ref="D23:E23"/>
    <mergeCell ref="D24:E24"/>
    <mergeCell ref="D25:E25"/>
    <mergeCell ref="D26:E26"/>
    <mergeCell ref="D27:E27"/>
    <mergeCell ref="A5:E5"/>
    <mergeCell ref="A6:E6"/>
    <mergeCell ref="A7:E7"/>
    <mergeCell ref="A9:E9"/>
    <mergeCell ref="A22:E22"/>
  </mergeCells>
  <dataValidations count="3">
    <dataValidation type="list" allowBlank="1" sqref="E11:E20" xr:uid="{00000000-0002-0000-0600-000000000000}">
      <formula1>"Explícita,Implícita,Parcial,Inexistente,Não aplicável"</formula1>
      <formula2>0</formula2>
    </dataValidation>
    <dataValidation type="list" allowBlank="1" sqref="D23 D25:D29" xr:uid="{00000000-0002-0000-0600-000001000000}">
      <formula1>"Sim,Não,Parcial,Não aplicável,Não informado"</formula1>
      <formula2>0</formula2>
    </dataValidation>
    <dataValidation type="list" allowBlank="1" sqref="D32" xr:uid="{00000000-0002-0000-0600-000002000000}">
      <formula1>"Suficiente,Parcialmente suficiente,Insuficiente,Não aplicável"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showGridLines="0" zoomScaleNormal="100" workbookViewId="0">
      <pane ySplit="8" topLeftCell="A17" activePane="bottomLeft" state="frozen"/>
      <selection pane="bottomLeft" activeCell="D22" sqref="D22"/>
    </sheetView>
  </sheetViews>
  <sheetFormatPr defaultColWidth="8.6640625" defaultRowHeight="14.4" x14ac:dyDescent="0.3"/>
  <cols>
    <col min="1" max="1" width="4.33203125" customWidth="1"/>
    <col min="2" max="2" width="52" customWidth="1"/>
    <col min="3" max="3" width="22" customWidth="1"/>
    <col min="4" max="4" width="18" customWidth="1"/>
    <col min="5" max="5" width="45" customWidth="1"/>
    <col min="6" max="6" width="2" customWidth="1"/>
  </cols>
  <sheetData>
    <row r="1" spans="1:6" s="15" customFormat="1" ht="14.25" customHeight="1" x14ac:dyDescent="0.3"/>
    <row r="2" spans="1:6" s="15" customFormat="1" ht="30" customHeight="1" x14ac:dyDescent="0.3"/>
    <row r="3" spans="1:6" s="15" customFormat="1" ht="21.75" customHeight="1" x14ac:dyDescent="0.3"/>
    <row r="4" spans="1:6" s="15" customFormat="1" ht="21.75" customHeight="1" x14ac:dyDescent="0.3"/>
    <row r="5" spans="1:6" ht="27.75" customHeight="1" x14ac:dyDescent="0.3">
      <c r="A5" s="14"/>
      <c r="B5" s="14"/>
      <c r="C5" s="14"/>
      <c r="D5" s="14"/>
      <c r="E5" s="14"/>
      <c r="F5" s="14"/>
    </row>
    <row r="6" spans="1:6" ht="25.5" customHeight="1" x14ac:dyDescent="0.3">
      <c r="A6" s="13" t="s">
        <v>209</v>
      </c>
      <c r="B6" s="13"/>
      <c r="C6" s="13"/>
      <c r="D6" s="13"/>
      <c r="E6" s="13"/>
      <c r="F6" s="13"/>
    </row>
    <row r="7" spans="1:6" ht="31.5" customHeight="1" x14ac:dyDescent="0.3">
      <c r="A7" s="12" t="s">
        <v>210</v>
      </c>
      <c r="B7" s="12"/>
      <c r="C7" s="12"/>
      <c r="D7" s="12"/>
      <c r="E7" s="12"/>
      <c r="F7" s="12"/>
    </row>
    <row r="9" spans="1:6" ht="21.75" customHeight="1" x14ac:dyDescent="0.3">
      <c r="A9" s="11" t="s">
        <v>211</v>
      </c>
      <c r="B9" s="11"/>
      <c r="C9" s="11"/>
      <c r="D9" s="11"/>
      <c r="E9" s="11"/>
    </row>
    <row r="10" spans="1:6" ht="31.5" customHeight="1" x14ac:dyDescent="0.3">
      <c r="A10" s="23"/>
      <c r="B10" s="23" t="s">
        <v>212</v>
      </c>
      <c r="C10" s="23" t="s">
        <v>213</v>
      </c>
      <c r="D10" s="23" t="s">
        <v>214</v>
      </c>
      <c r="E10" s="23" t="s">
        <v>215</v>
      </c>
    </row>
    <row r="11" spans="1:6" ht="30" customHeight="1" x14ac:dyDescent="0.3">
      <c r="A11" s="16"/>
      <c r="B11" s="17" t="s">
        <v>216</v>
      </c>
      <c r="C11" s="24" t="s">
        <v>217</v>
      </c>
      <c r="D11" s="29" t="s">
        <v>218</v>
      </c>
      <c r="E11" s="25"/>
    </row>
    <row r="12" spans="1:6" ht="30" customHeight="1" x14ac:dyDescent="0.3">
      <c r="A12" s="16"/>
      <c r="B12" s="17" t="s">
        <v>219</v>
      </c>
      <c r="C12" s="24" t="s">
        <v>217</v>
      </c>
      <c r="D12" s="29" t="s">
        <v>218</v>
      </c>
      <c r="E12" s="25"/>
    </row>
    <row r="13" spans="1:6" ht="30" customHeight="1" x14ac:dyDescent="0.3">
      <c r="A13" s="16"/>
      <c r="B13" s="17" t="s">
        <v>220</v>
      </c>
      <c r="C13" s="24" t="s">
        <v>217</v>
      </c>
      <c r="D13" s="29" t="s">
        <v>218</v>
      </c>
      <c r="E13" s="25"/>
    </row>
    <row r="14" spans="1:6" ht="30" customHeight="1" x14ac:dyDescent="0.3">
      <c r="A14" s="16"/>
      <c r="B14" s="17" t="s">
        <v>221</v>
      </c>
      <c r="C14" s="24" t="s">
        <v>222</v>
      </c>
      <c r="D14" s="29" t="s">
        <v>223</v>
      </c>
      <c r="E14" s="25"/>
    </row>
    <row r="15" spans="1:6" ht="30" customHeight="1" x14ac:dyDescent="0.3">
      <c r="A15" s="16"/>
      <c r="B15" s="17" t="s">
        <v>224</v>
      </c>
      <c r="C15" s="24" t="s">
        <v>222</v>
      </c>
      <c r="D15" s="29" t="s">
        <v>223</v>
      </c>
      <c r="E15" s="25"/>
    </row>
    <row r="16" spans="1:6" ht="30" customHeight="1" x14ac:dyDescent="0.3">
      <c r="A16" s="16"/>
      <c r="B16" s="17" t="s">
        <v>225</v>
      </c>
      <c r="C16" s="24" t="s">
        <v>222</v>
      </c>
      <c r="D16" s="29" t="s">
        <v>223</v>
      </c>
      <c r="E16" s="25"/>
    </row>
    <row r="17" spans="1:7" ht="30" customHeight="1" x14ac:dyDescent="0.3">
      <c r="A17" s="16"/>
      <c r="B17" s="17" t="s">
        <v>226</v>
      </c>
      <c r="C17" s="24" t="s">
        <v>217</v>
      </c>
      <c r="D17" s="29" t="s">
        <v>223</v>
      </c>
      <c r="E17" s="25"/>
    </row>
    <row r="18" spans="1:7" ht="30" customHeight="1" x14ac:dyDescent="0.3">
      <c r="A18" s="16"/>
      <c r="B18" s="17" t="s">
        <v>227</v>
      </c>
      <c r="C18" s="24" t="s">
        <v>217</v>
      </c>
      <c r="D18" s="29" t="s">
        <v>223</v>
      </c>
      <c r="E18" s="25"/>
    </row>
    <row r="19" spans="1:7" ht="30" customHeight="1" x14ac:dyDescent="0.3">
      <c r="A19" s="16"/>
      <c r="B19" s="17" t="s">
        <v>228</v>
      </c>
      <c r="C19" s="24" t="s">
        <v>222</v>
      </c>
      <c r="D19" s="29" t="s">
        <v>229</v>
      </c>
      <c r="E19" s="25"/>
    </row>
    <row r="20" spans="1:7" ht="30" customHeight="1" x14ac:dyDescent="0.3">
      <c r="A20" s="16"/>
      <c r="B20" s="17" t="s">
        <v>230</v>
      </c>
      <c r="C20" s="24" t="s">
        <v>222</v>
      </c>
      <c r="D20" s="29" t="s">
        <v>229</v>
      </c>
      <c r="E20" s="25"/>
    </row>
    <row r="21" spans="1:7" ht="30" customHeight="1" x14ac:dyDescent="0.3">
      <c r="A21" s="16"/>
      <c r="B21" s="17" t="s">
        <v>231</v>
      </c>
      <c r="C21" s="24" t="s">
        <v>222</v>
      </c>
      <c r="D21" s="29" t="s">
        <v>229</v>
      </c>
      <c r="E21" s="25"/>
    </row>
    <row r="22" spans="1:7" ht="30" customHeight="1" x14ac:dyDescent="0.3">
      <c r="A22" s="16"/>
      <c r="B22" s="17" t="s">
        <v>232</v>
      </c>
      <c r="C22" s="24" t="s">
        <v>222</v>
      </c>
      <c r="D22" s="29" t="s">
        <v>229</v>
      </c>
      <c r="E22" s="25"/>
    </row>
    <row r="23" spans="1:7" ht="30" customHeight="1" x14ac:dyDescent="0.3">
      <c r="A23" s="16"/>
      <c r="B23" s="17" t="s">
        <v>233</v>
      </c>
      <c r="C23" s="24"/>
      <c r="D23" s="29"/>
      <c r="E23" s="25"/>
    </row>
    <row r="24" spans="1:7" ht="30" customHeight="1" x14ac:dyDescent="0.3">
      <c r="A24" s="16"/>
      <c r="B24" s="17" t="s">
        <v>234</v>
      </c>
      <c r="C24" s="24"/>
      <c r="D24" s="29"/>
      <c r="E24" s="25"/>
    </row>
    <row r="25" spans="1:7" ht="30" customHeight="1" x14ac:dyDescent="0.3">
      <c r="A25" s="16"/>
      <c r="B25" s="17" t="s">
        <v>235</v>
      </c>
      <c r="C25" s="24"/>
      <c r="D25" s="29"/>
      <c r="E25" s="25"/>
    </row>
    <row r="26" spans="1:7" ht="30" customHeight="1" x14ac:dyDescent="0.3">
      <c r="A26" s="16"/>
      <c r="B26" s="17" t="s">
        <v>236</v>
      </c>
      <c r="C26" s="24"/>
      <c r="D26" s="29"/>
      <c r="E26" s="25"/>
    </row>
    <row r="27" spans="1:7" ht="30" customHeight="1" x14ac:dyDescent="0.3">
      <c r="A27" s="16"/>
      <c r="B27" s="17" t="s">
        <v>237</v>
      </c>
      <c r="C27" s="24"/>
      <c r="D27" s="29"/>
      <c r="E27" s="25"/>
    </row>
    <row r="28" spans="1:7" ht="30" customHeight="1" x14ac:dyDescent="0.3">
      <c r="A28" s="16"/>
      <c r="B28" s="17" t="s">
        <v>238</v>
      </c>
      <c r="C28" s="24"/>
      <c r="D28" s="29"/>
      <c r="E28" s="25"/>
    </row>
    <row r="30" spans="1:7" ht="15" customHeight="1" x14ac:dyDescent="0.3">
      <c r="A30" s="41"/>
      <c r="B30" s="42"/>
      <c r="C30" s="42"/>
      <c r="D30" s="42"/>
      <c r="E30" s="42"/>
      <c r="F30" s="42"/>
      <c r="G30" s="42"/>
    </row>
    <row r="31" spans="1:7" ht="15" customHeight="1" x14ac:dyDescent="0.3">
      <c r="A31" s="42"/>
      <c r="B31" s="41"/>
      <c r="C31" s="42"/>
      <c r="D31" s="42"/>
      <c r="E31" s="43"/>
      <c r="F31" s="42"/>
      <c r="G31" s="42"/>
    </row>
    <row r="32" spans="1:7" ht="15" customHeight="1" x14ac:dyDescent="0.3">
      <c r="A32" s="42"/>
      <c r="B32" s="41"/>
      <c r="C32" s="42"/>
      <c r="D32" s="42"/>
      <c r="E32" s="43"/>
      <c r="F32" s="42"/>
      <c r="G32" s="42"/>
    </row>
    <row r="33" spans="1:7" ht="15" customHeight="1" x14ac:dyDescent="0.3">
      <c r="A33" s="42"/>
      <c r="B33" s="41"/>
      <c r="C33" s="42"/>
      <c r="D33" s="42"/>
      <c r="E33" s="43"/>
      <c r="F33" s="42"/>
      <c r="G33" s="42"/>
    </row>
    <row r="34" spans="1:7" ht="15" customHeight="1" x14ac:dyDescent="0.3">
      <c r="A34" s="42"/>
      <c r="B34" s="41"/>
      <c r="C34" s="42"/>
      <c r="D34" s="42"/>
      <c r="E34" s="43"/>
      <c r="F34" s="42"/>
      <c r="G34" s="42"/>
    </row>
    <row r="35" spans="1:7" ht="15" customHeight="1" x14ac:dyDescent="0.3">
      <c r="A35" s="42"/>
      <c r="B35" s="41"/>
      <c r="C35" s="42"/>
      <c r="D35" s="42"/>
      <c r="E35" s="43"/>
      <c r="F35" s="42"/>
      <c r="G35" s="42"/>
    </row>
    <row r="36" spans="1:7" ht="15" customHeight="1" x14ac:dyDescent="0.3">
      <c r="A36" s="42"/>
      <c r="B36" s="41"/>
      <c r="C36" s="42"/>
      <c r="D36" s="42"/>
      <c r="E36" s="43"/>
      <c r="F36" s="42"/>
      <c r="G36" s="42"/>
    </row>
    <row r="37" spans="1:7" ht="15" customHeight="1" x14ac:dyDescent="0.3">
      <c r="A37" s="42"/>
      <c r="B37" s="41"/>
      <c r="C37" s="42"/>
      <c r="D37" s="42"/>
      <c r="E37" s="43"/>
      <c r="F37" s="42"/>
      <c r="G37" s="42"/>
    </row>
    <row r="38" spans="1:7" ht="15" customHeight="1" x14ac:dyDescent="0.3">
      <c r="A38" s="42"/>
      <c r="B38" s="41"/>
      <c r="C38" s="42"/>
      <c r="D38" s="42"/>
      <c r="E38" s="43"/>
      <c r="F38" s="42"/>
      <c r="G38" s="42"/>
    </row>
  </sheetData>
  <mergeCells count="4">
    <mergeCell ref="A5:F5"/>
    <mergeCell ref="A6:F6"/>
    <mergeCell ref="A7:F7"/>
    <mergeCell ref="A9:E9"/>
  </mergeCells>
  <dataValidations count="2">
    <dataValidation type="list" allowBlank="1" sqref="C11:C28" xr:uid="{00000000-0002-0000-0700-000000000000}">
      <formula1>"Conforme,Parcialmente conforme,Não conforme,Não aplicável"</formula1>
      <formula2>0</formula2>
    </dataValidation>
    <dataValidation type="list" allowBlank="1" sqref="D11:D28" xr:uid="{00000000-0002-0000-0700-000001000000}">
      <formula1>"Baixo,Médio,Alto,Não identificado"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showGridLines="0" zoomScaleNormal="100" workbookViewId="0">
      <pane ySplit="8" topLeftCell="A19" activePane="bottomLeft" state="frozen"/>
      <selection pane="bottomLeft" activeCell="A8" sqref="A8"/>
    </sheetView>
  </sheetViews>
  <sheetFormatPr defaultColWidth="8.6640625" defaultRowHeight="14.4" x14ac:dyDescent="0.3"/>
  <cols>
    <col min="2" max="2" width="45" customWidth="1"/>
    <col min="3" max="3" width="70" customWidth="1"/>
    <col min="4" max="4" width="2" customWidth="1"/>
  </cols>
  <sheetData>
    <row r="1" spans="1:4" s="15" customFormat="1" ht="14.25" customHeight="1" x14ac:dyDescent="0.3">
      <c r="A1" s="87"/>
      <c r="B1" s="87"/>
      <c r="C1" s="87"/>
      <c r="D1" s="87"/>
    </row>
    <row r="2" spans="1:4" s="15" customFormat="1" ht="30" customHeight="1" x14ac:dyDescent="0.3">
      <c r="A2" s="87"/>
      <c r="B2" s="87"/>
      <c r="C2" s="87"/>
      <c r="D2" s="87"/>
    </row>
    <row r="3" spans="1:4" s="15" customFormat="1" ht="21.75" customHeight="1" x14ac:dyDescent="0.3">
      <c r="A3" s="87"/>
      <c r="B3" s="87"/>
      <c r="C3" s="87"/>
      <c r="D3" s="87"/>
    </row>
    <row r="4" spans="1:4" s="15" customFormat="1" ht="21.75" customHeight="1" x14ac:dyDescent="0.3">
      <c r="A4" s="87"/>
      <c r="B4" s="87"/>
      <c r="C4" s="87"/>
      <c r="D4" s="87"/>
    </row>
    <row r="5" spans="1:4" ht="27.75" customHeight="1" x14ac:dyDescent="0.3">
      <c r="A5" s="14"/>
      <c r="B5" s="14"/>
      <c r="C5" s="14"/>
      <c r="D5" s="14"/>
    </row>
    <row r="6" spans="1:4" ht="25.5" customHeight="1" x14ac:dyDescent="0.3">
      <c r="A6" s="13" t="s">
        <v>239</v>
      </c>
      <c r="B6" s="13"/>
      <c r="C6" s="13"/>
      <c r="D6" s="13"/>
    </row>
    <row r="7" spans="1:4" ht="31.5" customHeight="1" x14ac:dyDescent="0.3">
      <c r="A7" s="12" t="s">
        <v>240</v>
      </c>
      <c r="B7" s="12"/>
      <c r="C7" s="12"/>
      <c r="D7" s="12"/>
    </row>
    <row r="9" spans="1:4" ht="21.75" customHeight="1" x14ac:dyDescent="0.3">
      <c r="A9" s="11" t="s">
        <v>241</v>
      </c>
      <c r="B9" s="11"/>
      <c r="C9" s="11"/>
    </row>
    <row r="10" spans="1:4" ht="21.75" customHeight="1" x14ac:dyDescent="0.3">
      <c r="A10" s="16"/>
      <c r="B10" s="17" t="s">
        <v>242</v>
      </c>
      <c r="C10" s="44">
        <f>'1. Identificação'!C10</f>
        <v>0</v>
      </c>
    </row>
    <row r="11" spans="1:4" ht="21.75" customHeight="1" x14ac:dyDescent="0.3">
      <c r="A11" s="16"/>
      <c r="B11" s="17" t="s">
        <v>243</v>
      </c>
      <c r="C11" s="44">
        <f>'1. Identificação'!C11</f>
        <v>0</v>
      </c>
    </row>
    <row r="12" spans="1:4" ht="21.75" customHeight="1" x14ac:dyDescent="0.3">
      <c r="A12" s="16"/>
      <c r="B12" s="17" t="s">
        <v>244</v>
      </c>
      <c r="C12" s="44">
        <f>'1. Identificação'!C12</f>
        <v>0</v>
      </c>
    </row>
    <row r="13" spans="1:4" ht="21.75" customHeight="1" x14ac:dyDescent="0.3">
      <c r="A13" s="16"/>
      <c r="B13" s="17" t="s">
        <v>245</v>
      </c>
      <c r="C13" s="44">
        <f>'1. Identificação'!C15</f>
        <v>0</v>
      </c>
    </row>
    <row r="14" spans="1:4" ht="21.75" customHeight="1" x14ac:dyDescent="0.3">
      <c r="A14" s="16"/>
      <c r="B14" s="17" t="s">
        <v>246</v>
      </c>
      <c r="C14" s="44">
        <f>'1. Identificação'!C19</f>
        <v>0</v>
      </c>
    </row>
    <row r="15" spans="1:4" ht="21.75" customHeight="1" x14ac:dyDescent="0.3">
      <c r="A15" s="16"/>
      <c r="B15" s="17" t="s">
        <v>247</v>
      </c>
      <c r="C15" s="44">
        <f>'1. Identificação'!C21</f>
        <v>0</v>
      </c>
    </row>
    <row r="16" spans="1:4" ht="21.75" customHeight="1" x14ac:dyDescent="0.3">
      <c r="A16" s="16"/>
      <c r="B16" s="17" t="s">
        <v>248</v>
      </c>
      <c r="C16" s="44">
        <f>'1. Identificação'!C26</f>
        <v>0</v>
      </c>
    </row>
    <row r="17" spans="1:3" ht="21.75" customHeight="1" x14ac:dyDescent="0.3">
      <c r="A17" s="16"/>
      <c r="B17" s="17" t="s">
        <v>82</v>
      </c>
      <c r="C17" s="44">
        <f>'1. Identificação'!C28</f>
        <v>0</v>
      </c>
    </row>
    <row r="19" spans="1:3" ht="21.75" customHeight="1" x14ac:dyDescent="0.3">
      <c r="A19" s="11" t="s">
        <v>249</v>
      </c>
      <c r="B19" s="11"/>
      <c r="C19" s="11"/>
    </row>
    <row r="20" spans="1:3" ht="30" customHeight="1" x14ac:dyDescent="0.3">
      <c r="A20" s="16"/>
      <c r="B20" s="17" t="s">
        <v>250</v>
      </c>
      <c r="C20" s="45">
        <f>'2. Metodologia'!C23</f>
        <v>0</v>
      </c>
    </row>
    <row r="21" spans="1:3" ht="21.75" customHeight="1" x14ac:dyDescent="0.3">
      <c r="A21" s="16"/>
      <c r="B21" s="17" t="s">
        <v>251</v>
      </c>
      <c r="C21" s="45">
        <f>COUNTIF('6. Análise Crítica'!C11:C28,"Conforme")</f>
        <v>7</v>
      </c>
    </row>
    <row r="22" spans="1:3" ht="21.75" customHeight="1" x14ac:dyDescent="0.3">
      <c r="A22" s="16"/>
      <c r="B22" s="17" t="s">
        <v>252</v>
      </c>
      <c r="C22" s="45">
        <f>COUNTIF('6. Análise Crítica'!C11:C28,"Parcialmente conforme")</f>
        <v>0</v>
      </c>
    </row>
    <row r="23" spans="1:3" ht="21.75" customHeight="1" x14ac:dyDescent="0.3">
      <c r="A23" s="16"/>
      <c r="B23" s="17" t="s">
        <v>253</v>
      </c>
      <c r="C23" s="45">
        <f>COUNTIF('6. Análise Crítica'!C11:C28,"Não conforme")</f>
        <v>5</v>
      </c>
    </row>
    <row r="24" spans="1:3" ht="21.75" customHeight="1" x14ac:dyDescent="0.3">
      <c r="A24" s="16"/>
      <c r="B24" s="17" t="s">
        <v>254</v>
      </c>
      <c r="C24" s="45">
        <f>COUNTIF('6. Análise Crítica'!D11:D28,"Alto")</f>
        <v>5</v>
      </c>
    </row>
    <row r="25" spans="1:3" ht="21.75" customHeight="1" x14ac:dyDescent="0.3">
      <c r="A25" s="16"/>
      <c r="B25" s="17" t="s">
        <v>255</v>
      </c>
      <c r="C25" s="45">
        <f>COUNTIF('6. Análise Crítica'!D11:D28,"Médio")</f>
        <v>3</v>
      </c>
    </row>
    <row r="26" spans="1:3" ht="21.75" customHeight="1" x14ac:dyDescent="0.3">
      <c r="A26" s="16"/>
      <c r="B26" s="17" t="s">
        <v>256</v>
      </c>
      <c r="C26" s="45">
        <f>COUNTIF('6. Análise Crítica'!D11:D28,"Baixo")</f>
        <v>4</v>
      </c>
    </row>
    <row r="27" spans="1:3" ht="21.75" customHeight="1" x14ac:dyDescent="0.3">
      <c r="A27" s="16"/>
      <c r="B27" s="17" t="s">
        <v>257</v>
      </c>
      <c r="C27" s="45">
        <f>COUNTA('6. Análise Crítica'!C11:C28)</f>
        <v>12</v>
      </c>
    </row>
    <row r="28" spans="1:3" ht="21.75" customHeight="1" x14ac:dyDescent="0.3">
      <c r="A28" s="16"/>
      <c r="B28" s="46"/>
      <c r="C28" s="47"/>
    </row>
    <row r="30" spans="1:3" ht="21.75" customHeight="1" x14ac:dyDescent="0.3">
      <c r="A30" s="11" t="s">
        <v>258</v>
      </c>
      <c r="B30" s="11"/>
      <c r="C30" s="11"/>
    </row>
    <row r="31" spans="1:3" ht="69.75" customHeight="1" x14ac:dyDescent="0.3">
      <c r="A31" s="16"/>
      <c r="B31" s="37" t="s">
        <v>259</v>
      </c>
      <c r="C31" s="48"/>
    </row>
    <row r="32" spans="1:3" ht="60" customHeight="1" x14ac:dyDescent="0.3">
      <c r="A32" s="16"/>
      <c r="B32" s="37" t="s">
        <v>260</v>
      </c>
      <c r="C32" s="48"/>
    </row>
    <row r="33" spans="1:3" ht="60" customHeight="1" x14ac:dyDescent="0.3">
      <c r="A33" s="16"/>
      <c r="B33" s="37" t="s">
        <v>261</v>
      </c>
      <c r="C33" s="48"/>
    </row>
    <row r="34" spans="1:3" ht="69.75" customHeight="1" x14ac:dyDescent="0.3">
      <c r="A34" s="16"/>
      <c r="B34" s="37" t="s">
        <v>262</v>
      </c>
      <c r="C34" s="48"/>
    </row>
    <row r="35" spans="1:3" ht="69.75" customHeight="1" x14ac:dyDescent="0.3">
      <c r="A35" s="16"/>
      <c r="B35" s="37" t="s">
        <v>263</v>
      </c>
      <c r="C35" s="48"/>
    </row>
    <row r="36" spans="1:3" ht="79.5" customHeight="1" x14ac:dyDescent="0.3">
      <c r="A36" s="16"/>
      <c r="B36" s="37" t="s">
        <v>264</v>
      </c>
      <c r="C36" s="48"/>
    </row>
    <row r="37" spans="1:3" ht="79.5" customHeight="1" x14ac:dyDescent="0.3">
      <c r="A37" s="16"/>
      <c r="B37" s="37" t="s">
        <v>265</v>
      </c>
      <c r="C37" s="48"/>
    </row>
    <row r="38" spans="1:3" ht="79.5" customHeight="1" x14ac:dyDescent="0.3">
      <c r="A38" s="16"/>
      <c r="B38" s="37" t="s">
        <v>266</v>
      </c>
      <c r="C38" s="48"/>
    </row>
    <row r="40" spans="1:3" ht="21.75" customHeight="1" x14ac:dyDescent="0.3">
      <c r="A40" s="11" t="s">
        <v>267</v>
      </c>
      <c r="B40" s="11"/>
      <c r="C40" s="11"/>
    </row>
    <row r="41" spans="1:3" ht="30" customHeight="1" x14ac:dyDescent="0.3">
      <c r="A41" s="16"/>
      <c r="B41" s="17" t="s">
        <v>268</v>
      </c>
      <c r="C41" s="24"/>
    </row>
  </sheetData>
  <mergeCells count="8">
    <mergeCell ref="A19:C19"/>
    <mergeCell ref="A30:C30"/>
    <mergeCell ref="A40:C40"/>
    <mergeCell ref="A1:D4"/>
    <mergeCell ref="A5:D5"/>
    <mergeCell ref="A6:D6"/>
    <mergeCell ref="A7:D7"/>
    <mergeCell ref="A9:C9"/>
  </mergeCells>
  <conditionalFormatting sqref="C21">
    <cfRule type="cellIs" dxfId="10" priority="3" operator="greaterThan">
      <formula>0</formula>
    </cfRule>
  </conditionalFormatting>
  <conditionalFormatting sqref="C21:C26">
    <cfRule type="cellIs" dxfId="9" priority="2" operator="equal">
      <formula>0</formula>
    </cfRule>
  </conditionalFormatting>
  <conditionalFormatting sqref="C22">
    <cfRule type="cellIs" dxfId="8" priority="5" operator="greaterThan">
      <formula>0</formula>
    </cfRule>
  </conditionalFormatting>
  <conditionalFormatting sqref="C23:C24">
    <cfRule type="cellIs" dxfId="7" priority="7" operator="greaterThan">
      <formula>0</formula>
    </cfRule>
  </conditionalFormatting>
  <conditionalFormatting sqref="C25">
    <cfRule type="cellIs" dxfId="6" priority="11" operator="greaterThan">
      <formula>0</formula>
    </cfRule>
  </conditionalFormatting>
  <conditionalFormatting sqref="C26">
    <cfRule type="cellIs" dxfId="5" priority="13" operator="greaterThan">
      <formula>0</formula>
    </cfRule>
  </conditionalFormatting>
  <dataValidations count="1">
    <dataValidation type="list" allowBlank="1" sqref="C41" xr:uid="{00000000-0002-0000-0800-000000000000}">
      <formula1>"Consistente e adequadamente justificada,Consistente com ressalvas pontuais,Parcialmente consistente — requer complementação,Inconsistente — requer revisão,Insuficiente para análise conclusiva"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showGridLines="0" zoomScaleNormal="100" workbookViewId="0">
      <pane ySplit="8" topLeftCell="A9" activePane="bottomLeft" state="frozen"/>
      <selection pane="bottomLeft" activeCell="B11" sqref="B11"/>
    </sheetView>
  </sheetViews>
  <sheetFormatPr defaultColWidth="8.6640625" defaultRowHeight="14.4" x14ac:dyDescent="0.3"/>
  <cols>
    <col min="1" max="1" width="2" customWidth="1"/>
    <col min="2" max="2" width="100" customWidth="1"/>
    <col min="3" max="3" width="2" customWidth="1"/>
  </cols>
  <sheetData>
    <row r="1" spans="1:3" s="15" customFormat="1" ht="14.25" customHeight="1" x14ac:dyDescent="0.3"/>
    <row r="2" spans="1:3" s="15" customFormat="1" ht="30" customHeight="1" x14ac:dyDescent="0.3"/>
    <row r="3" spans="1:3" s="15" customFormat="1" ht="21.75" customHeight="1" x14ac:dyDescent="0.3"/>
    <row r="4" spans="1:3" s="15" customFormat="1" ht="21.75" customHeight="1" x14ac:dyDescent="0.3"/>
    <row r="5" spans="1:3" ht="27.75" customHeight="1" x14ac:dyDescent="0.3">
      <c r="A5" s="14"/>
      <c r="B5" s="14"/>
      <c r="C5" s="14"/>
    </row>
    <row r="6" spans="1:3" ht="25.5" customHeight="1" x14ac:dyDescent="0.3">
      <c r="A6" s="13" t="s">
        <v>269</v>
      </c>
      <c r="B6" s="13"/>
      <c r="C6" s="13"/>
    </row>
    <row r="7" spans="1:3" ht="31.5" customHeight="1" x14ac:dyDescent="0.3">
      <c r="A7" s="12" t="s">
        <v>270</v>
      </c>
      <c r="B7" s="12"/>
      <c r="C7" s="12"/>
    </row>
    <row r="9" spans="1:3" ht="31.5" customHeight="1" x14ac:dyDescent="0.3">
      <c r="B9" s="49" t="s">
        <v>271</v>
      </c>
    </row>
    <row r="11" spans="1:3" ht="24" customHeight="1" x14ac:dyDescent="0.3">
      <c r="B11" s="50" t="s">
        <v>272</v>
      </c>
    </row>
    <row r="12" spans="1:3" ht="180" customHeight="1" x14ac:dyDescent="0.3">
      <c r="B12" s="39" t="str">
        <f>"Caso analisado: "&amp;'1. Identificação'!C10&amp;CHAR(10)&amp;"Objeto: "&amp;'1. Identificação'!C11&amp;CHAR(10)&amp;"Órgão/Entidade: "&amp;'1. Identificação'!C12&amp;CHAR(10)&amp;"Modalidade contratual: "&amp;'1. Identificação'!C15&amp;CHAR(10)&amp;"Natureza da intervenção: "&amp;'1. Identificação'!C19&amp;CHAR(10)&amp;"Valor total declarado: "&amp;TEXT('1. Identificação'!C21,"R$ #,##0.00")&amp;CHAR(10)&amp;"Fase analisada: "&amp;'1. Identificação'!C26&amp;CHAR(10)&amp;"Documentos analisados: "&amp;'1. Identificação'!C27&amp;CHAR(10)&amp;"Data-base dos preços: "&amp;'1. Identificação'!C28</f>
        <v xml:space="preserve">Caso analisado: 
Objeto: 
Órgão/Entidade: 
Modalidade contratual: 
Natureza da intervenção: 
Valor total declarado: R$ ,000
Fase analisada: 
Documentos analisados: 
Data-base dos preços: </v>
      </c>
    </row>
    <row r="14" spans="1:3" ht="24" customHeight="1" x14ac:dyDescent="0.3">
      <c r="B14" s="50" t="s">
        <v>273</v>
      </c>
    </row>
    <row r="15" spans="1:3" ht="99.75" customHeight="1" x14ac:dyDescent="0.3">
      <c r="B15" s="39">
        <f>'7. Síntese'!C31</f>
        <v>0</v>
      </c>
    </row>
    <row r="17" spans="2:2" ht="24" customHeight="1" x14ac:dyDescent="0.3">
      <c r="B17" s="50" t="s">
        <v>274</v>
      </c>
    </row>
    <row r="18" spans="2:2" ht="99.75" customHeight="1" x14ac:dyDescent="0.3">
      <c r="B18" s="39">
        <f>'7. Síntese'!C32</f>
        <v>0</v>
      </c>
    </row>
    <row r="20" spans="2:2" ht="24" customHeight="1" x14ac:dyDescent="0.3">
      <c r="B20" s="50" t="s">
        <v>275</v>
      </c>
    </row>
    <row r="21" spans="2:2" ht="99.75" customHeight="1" x14ac:dyDescent="0.3">
      <c r="B21" s="39">
        <f>'7. Síntese'!C33</f>
        <v>0</v>
      </c>
    </row>
    <row r="23" spans="2:2" ht="24" customHeight="1" x14ac:dyDescent="0.3">
      <c r="B23" s="50" t="s">
        <v>276</v>
      </c>
    </row>
    <row r="24" spans="2:2" ht="99.75" customHeight="1" x14ac:dyDescent="0.3">
      <c r="B24" s="39">
        <f>'7. Síntese'!C34</f>
        <v>0</v>
      </c>
    </row>
    <row r="26" spans="2:2" ht="24" customHeight="1" x14ac:dyDescent="0.3">
      <c r="B26" s="50" t="s">
        <v>277</v>
      </c>
    </row>
    <row r="27" spans="2:2" ht="120" customHeight="1" x14ac:dyDescent="0.3">
      <c r="B27" s="39">
        <f>'7. Síntese'!C35</f>
        <v>0</v>
      </c>
    </row>
    <row r="29" spans="2:2" ht="24" customHeight="1" x14ac:dyDescent="0.3">
      <c r="B29" s="50" t="s">
        <v>278</v>
      </c>
    </row>
    <row r="30" spans="2:2" ht="120" customHeight="1" x14ac:dyDescent="0.3">
      <c r="B30" s="39">
        <f>'7. Síntese'!C36</f>
        <v>0</v>
      </c>
    </row>
    <row r="32" spans="2:2" ht="24" customHeight="1" x14ac:dyDescent="0.3">
      <c r="B32" s="50" t="s">
        <v>279</v>
      </c>
    </row>
    <row r="33" spans="2:2" ht="120" customHeight="1" x14ac:dyDescent="0.3">
      <c r="B33" s="39">
        <f>'7. Síntese'!C37</f>
        <v>0</v>
      </c>
    </row>
    <row r="35" spans="2:2" ht="24" customHeight="1" x14ac:dyDescent="0.3">
      <c r="B35" s="50" t="s">
        <v>280</v>
      </c>
    </row>
    <row r="36" spans="2:2" ht="139.5" customHeight="1" x14ac:dyDescent="0.3">
      <c r="B36" s="39" t="str">
        <f>"Parecer global: "&amp;'7. Síntese'!C41&amp;CHAR(10)&amp;CHAR(10)&amp;'7. Síntese'!C38</f>
        <v xml:space="preserve">Parecer global: 
</v>
      </c>
    </row>
    <row r="39" spans="2:2" ht="24" customHeight="1" x14ac:dyDescent="0.3">
      <c r="B39" s="50" t="s">
        <v>281</v>
      </c>
    </row>
    <row r="40" spans="2:2" ht="129.75" customHeight="1" x14ac:dyDescent="0.3">
      <c r="B40" s="51" t="str">
        <f>"Total de itens avaliados na análise crítica: "&amp;'7. Síntese'!C27&amp;CHAR(10)&amp;"Itens conformes: "&amp;'7. Síntese'!C21&amp;CHAR(10)&amp;"Itens parcialmente conformes: "&amp;'7. Síntese'!C22&amp;CHAR(10)&amp;"Itens não conformes: "&amp;'7. Síntese'!C23&amp;CHAR(10)&amp;"Itens com risco alto: "&amp;'7. Síntese'!C24&amp;CHAR(10)&amp;"Itens com risco médio: "&amp;'7. Síntese'!C25&amp;CHAR(10)&amp;"Itens com risco baixo: "&amp;'7. Síntese'!C26</f>
        <v>Total de itens avaliados na análise crítica: 12
Itens conformes: 7
Itens parcialmente conformes: 0
Itens não conformes: 5
Itens com risco alto: 5
Itens com risco médio: 3
Itens com risco baixo: 4</v>
      </c>
    </row>
    <row r="42" spans="2:2" ht="20.25" customHeight="1" x14ac:dyDescent="0.3">
      <c r="B42" s="52" t="s">
        <v>282</v>
      </c>
    </row>
  </sheetData>
  <mergeCells count="3">
    <mergeCell ref="A5:C5"/>
    <mergeCell ref="A6:C6"/>
    <mergeCell ref="A7:C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71"/>
  <sheetViews>
    <sheetView showGridLines="0" tabSelected="1" zoomScaleNormal="100" workbookViewId="0">
      <pane ySplit="8" topLeftCell="A16" activePane="bottomLeft" state="frozen"/>
      <selection pane="bottomLeft" activeCell="B18" sqref="B18"/>
    </sheetView>
  </sheetViews>
  <sheetFormatPr defaultColWidth="8.6640625" defaultRowHeight="14.4" x14ac:dyDescent="0.3"/>
  <cols>
    <col min="1" max="1" width="3" customWidth="1"/>
    <col min="2" max="2" width="26" customWidth="1"/>
    <col min="3" max="5" width="14" customWidth="1"/>
    <col min="6" max="6" width="18" customWidth="1"/>
    <col min="7" max="7" width="14" customWidth="1"/>
    <col min="8" max="8" width="50" customWidth="1"/>
    <col min="9" max="9" width="3" customWidth="1"/>
  </cols>
  <sheetData>
    <row r="1" spans="1:8" s="15" customFormat="1" ht="14.25" customHeight="1" x14ac:dyDescent="0.3">
      <c r="A1" s="87"/>
      <c r="B1" s="87"/>
      <c r="C1" s="87"/>
      <c r="D1" s="87"/>
      <c r="E1" s="87"/>
      <c r="F1" s="87"/>
      <c r="G1" s="87"/>
    </row>
    <row r="2" spans="1:8" s="15" customFormat="1" ht="30" customHeight="1" x14ac:dyDescent="0.3">
      <c r="A2" s="87"/>
      <c r="B2" s="87"/>
      <c r="C2" s="87"/>
      <c r="D2" s="87"/>
      <c r="E2" s="87"/>
      <c r="F2" s="87"/>
      <c r="G2" s="87"/>
    </row>
    <row r="3" spans="1:8" s="15" customFormat="1" ht="21.75" customHeight="1" x14ac:dyDescent="0.3">
      <c r="A3" s="87"/>
      <c r="B3" s="87"/>
      <c r="C3" s="87"/>
      <c r="D3" s="87"/>
      <c r="E3" s="87"/>
      <c r="F3" s="87"/>
      <c r="G3" s="87"/>
    </row>
    <row r="4" spans="1:8" s="15" customFormat="1" ht="21.75" customHeight="1" x14ac:dyDescent="0.3">
      <c r="A4" s="87"/>
      <c r="B4" s="87"/>
      <c r="C4" s="87"/>
      <c r="D4" s="87"/>
      <c r="E4" s="87"/>
      <c r="F4" s="87"/>
      <c r="G4" s="87"/>
    </row>
    <row r="5" spans="1:8" ht="18" customHeight="1" x14ac:dyDescent="0.3">
      <c r="A5" s="87"/>
      <c r="B5" s="87"/>
      <c r="C5" s="87"/>
      <c r="D5" s="87"/>
      <c r="E5" s="87"/>
      <c r="F5" s="87"/>
      <c r="G5" s="87"/>
    </row>
    <row r="6" spans="1:8" ht="31.5" customHeight="1" x14ac:dyDescent="0.3">
      <c r="B6" s="88" t="s">
        <v>283</v>
      </c>
      <c r="C6" s="88"/>
      <c r="D6" s="88"/>
      <c r="E6" s="88"/>
      <c r="F6" s="88"/>
      <c r="G6" s="88"/>
      <c r="H6" s="88"/>
    </row>
    <row r="7" spans="1:8" ht="15.75" customHeight="1" x14ac:dyDescent="0.3">
      <c r="B7" s="89" t="s">
        <v>284</v>
      </c>
      <c r="C7" s="89"/>
      <c r="D7" s="89"/>
      <c r="E7" s="89"/>
      <c r="F7" s="89"/>
      <c r="G7" s="89"/>
      <c r="H7" s="89"/>
    </row>
    <row r="8" spans="1:8" ht="7.5" customHeight="1" x14ac:dyDescent="0.3">
      <c r="B8" s="90"/>
      <c r="C8" s="90"/>
      <c r="D8" s="90"/>
      <c r="E8" s="90"/>
      <c r="F8" s="90"/>
      <c r="G8" s="90"/>
      <c r="H8" s="90"/>
    </row>
    <row r="10" spans="1:8" ht="15.75" customHeight="1" x14ac:dyDescent="0.3">
      <c r="B10" s="53" t="s">
        <v>285</v>
      </c>
      <c r="D10" s="54" t="s">
        <v>286</v>
      </c>
      <c r="F10" s="55" t="s">
        <v>287</v>
      </c>
      <c r="H10" s="56" t="s">
        <v>288</v>
      </c>
    </row>
    <row r="11" spans="1:8" ht="37.5" customHeight="1" x14ac:dyDescent="0.3">
      <c r="B11" s="57">
        <f>'7. Síntese'!C27</f>
        <v>12</v>
      </c>
      <c r="D11" s="58">
        <f>'7. Síntese'!C21</f>
        <v>7</v>
      </c>
      <c r="E11" s="59"/>
      <c r="F11" s="60">
        <f>'7. Síntese'!C22</f>
        <v>0</v>
      </c>
      <c r="G11" s="61"/>
      <c r="H11" s="62">
        <f>'7. Síntese'!C23</f>
        <v>5</v>
      </c>
    </row>
    <row r="12" spans="1:8" ht="15.75" customHeight="1" x14ac:dyDescent="0.3">
      <c r="B12" s="63" t="s">
        <v>289</v>
      </c>
      <c r="D12" s="63" t="str">
        <f>TEXT(IFERROR('7. Síntese'!C21/'7. Síntese'!C27,0),"0%")&amp;" do total"</f>
        <v>58% do total</v>
      </c>
      <c r="F12" s="63" t="str">
        <f>TEXT(IFERROR('7. Síntese'!C22/'7. Síntese'!C27,0),"0%")&amp;" do total"</f>
        <v>0% do total</v>
      </c>
      <c r="H12" s="63" t="str">
        <f>TEXT(IFERROR('7. Síntese'!C23/'7. Síntese'!C27,0),"0%")&amp;" do total"</f>
        <v>42% do total</v>
      </c>
    </row>
    <row r="13" spans="1:8" ht="12" customHeight="1" x14ac:dyDescent="0.3"/>
    <row r="14" spans="1:8" ht="3.75" customHeight="1" x14ac:dyDescent="0.3">
      <c r="B14" s="91"/>
      <c r="C14" s="91"/>
      <c r="D14" s="91"/>
      <c r="E14" s="91"/>
      <c r="F14" s="91"/>
      <c r="G14" s="91"/>
      <c r="H14" s="91"/>
    </row>
    <row r="16" spans="1:8" ht="18" customHeight="1" x14ac:dyDescent="0.3">
      <c r="B16" s="64" t="s">
        <v>290</v>
      </c>
      <c r="C16" s="65" t="s">
        <v>291</v>
      </c>
    </row>
    <row r="17" spans="2:8" ht="13.5" customHeight="1" x14ac:dyDescent="0.3">
      <c r="B17" s="92" t="s">
        <v>292</v>
      </c>
      <c r="C17" s="92"/>
      <c r="D17" s="92"/>
      <c r="E17" s="92"/>
      <c r="F17" s="92"/>
      <c r="G17" s="92"/>
      <c r="H17" s="92"/>
    </row>
    <row r="18" spans="2:8" ht="6" customHeight="1" x14ac:dyDescent="0.3"/>
    <row r="19" spans="2:8" ht="21.75" customHeight="1" x14ac:dyDescent="0.3">
      <c r="B19" s="66"/>
      <c r="C19" s="67" t="s">
        <v>229</v>
      </c>
      <c r="D19" s="67" t="s">
        <v>218</v>
      </c>
      <c r="E19" s="67" t="s">
        <v>223</v>
      </c>
      <c r="F19" s="67" t="s">
        <v>293</v>
      </c>
      <c r="G19" s="67" t="s">
        <v>294</v>
      </c>
    </row>
    <row r="20" spans="2:8" ht="25.5" customHeight="1" x14ac:dyDescent="0.3">
      <c r="B20" s="68" t="s">
        <v>222</v>
      </c>
      <c r="C20" s="69">
        <f>COUNTIFS('6. Análise Crítica'!C11:C28,"Conforme",'6. Análise Crítica'!D11:D28,"Baixo")</f>
        <v>4</v>
      </c>
      <c r="D20" s="70">
        <f>COUNTIFS('6. Análise Crítica'!C11:C28,"Conforme",'6. Análise Crítica'!D11:D28,"Médio")</f>
        <v>0</v>
      </c>
      <c r="E20" s="71">
        <f>COUNTIFS('6. Análise Crítica'!C11:C28,"Conforme",'6. Análise Crítica'!D11:D28,"Alto")</f>
        <v>3</v>
      </c>
      <c r="F20" s="69">
        <f>COUNTIFS('6. Análise Crítica'!C11:C28,"Conforme",'6. Análise Crítica'!D11:D28,"Não identificado")</f>
        <v>0</v>
      </c>
      <c r="G20" s="72">
        <f>SUM(C20:F20)</f>
        <v>7</v>
      </c>
    </row>
    <row r="21" spans="2:8" ht="25.5" customHeight="1" x14ac:dyDescent="0.3">
      <c r="B21" s="73" t="s">
        <v>295</v>
      </c>
      <c r="C21" s="70">
        <f>COUNTIFS('6. Análise Crítica'!C11:C28,"Parcialmente conforme",'6. Análise Crítica'!D11:D28,"Baixo")</f>
        <v>0</v>
      </c>
      <c r="D21" s="71">
        <f>COUNTIFS('6. Análise Crítica'!C11:C28,"Parcialmente conforme",'6. Análise Crítica'!D11:D28,"Médio")</f>
        <v>0</v>
      </c>
      <c r="E21" s="74">
        <f>COUNTIFS('6. Análise Crítica'!C11:C28,"Parcialmente conforme",'6. Análise Crítica'!D11:D28,"Alto")</f>
        <v>0</v>
      </c>
      <c r="F21" s="70">
        <f>COUNTIFS('6. Análise Crítica'!C11:C28,"Parcialmente conforme",'6. Análise Crítica'!D11:D28,"Não identificado")</f>
        <v>0</v>
      </c>
      <c r="G21" s="72">
        <f>SUM(C21:F21)</f>
        <v>0</v>
      </c>
    </row>
    <row r="22" spans="2:8" ht="25.5" customHeight="1" x14ac:dyDescent="0.3">
      <c r="B22" s="75" t="s">
        <v>217</v>
      </c>
      <c r="C22" s="71">
        <f>COUNTIFS('6. Análise Crítica'!C11:C28,"Não conforme",'6. Análise Crítica'!D11:D28,"Baixo")</f>
        <v>0</v>
      </c>
      <c r="D22" s="74">
        <f>COUNTIFS('6. Análise Crítica'!C11:C28,"Não conforme",'6. Análise Crítica'!D11:D28,"Médio")</f>
        <v>3</v>
      </c>
      <c r="E22" s="76">
        <f>COUNTIFS('6. Análise Crítica'!C11:C28,"Não conforme",'6. Análise Crítica'!D11:D28,"Alto")</f>
        <v>2</v>
      </c>
      <c r="F22" s="71">
        <f>COUNTIFS('6. Análise Crítica'!C11:C28,"Não conforme",'6. Análise Crítica'!D11:D28,"Não identificado")</f>
        <v>0</v>
      </c>
      <c r="G22" s="72">
        <f>SUM(C22:F22)</f>
        <v>5</v>
      </c>
    </row>
    <row r="23" spans="2:8" ht="25.5" customHeight="1" x14ac:dyDescent="0.3">
      <c r="B23" s="77" t="s">
        <v>296</v>
      </c>
      <c r="C23" s="78">
        <f>COUNTIFS('6. Análise Crítica'!C11:C28,"Não aplicável",'6. Análise Crítica'!D11:D28,"Baixo")</f>
        <v>0</v>
      </c>
      <c r="D23" s="78">
        <f>COUNTIFS('6. Análise Crítica'!C11:C28,"Não aplicável",'6. Análise Crítica'!D11:D28,"Médio")</f>
        <v>0</v>
      </c>
      <c r="E23" s="78">
        <f>COUNTIFS('6. Análise Crítica'!C11:C28,"Não aplicável",'6. Análise Crítica'!D11:D28,"Alto")</f>
        <v>0</v>
      </c>
      <c r="F23" s="78">
        <f>COUNTIFS('6. Análise Crítica'!C11:C28,"Não aplicável",'6. Análise Crítica'!D11:D28,"Não identificado")</f>
        <v>0</v>
      </c>
      <c r="G23" s="72">
        <f>SUM(C23:F23)</f>
        <v>0</v>
      </c>
    </row>
    <row r="24" spans="2:8" ht="21.75" customHeight="1" x14ac:dyDescent="0.3">
      <c r="B24" s="79" t="s">
        <v>294</v>
      </c>
      <c r="C24" s="80">
        <f>SUM(C20:C23)</f>
        <v>4</v>
      </c>
      <c r="D24" s="80">
        <f>SUM(D20:D23)</f>
        <v>3</v>
      </c>
      <c r="E24" s="80">
        <f>SUM(E20:E23)</f>
        <v>5</v>
      </c>
      <c r="F24" s="80">
        <f>SUM(F20:F23)</f>
        <v>0</v>
      </c>
      <c r="G24" s="80">
        <f>SUM(G20:G23)</f>
        <v>12</v>
      </c>
    </row>
    <row r="25" spans="2:8" ht="24" customHeight="1" x14ac:dyDescent="0.3"/>
    <row r="26" spans="2:8" ht="18" customHeight="1" x14ac:dyDescent="0.3">
      <c r="B26" s="64" t="s">
        <v>297</v>
      </c>
      <c r="C26" s="65" t="s">
        <v>298</v>
      </c>
    </row>
    <row r="27" spans="2:8" ht="13.5" customHeight="1" x14ac:dyDescent="0.3">
      <c r="B27" s="93" t="s">
        <v>299</v>
      </c>
      <c r="C27" s="93"/>
      <c r="D27" s="93"/>
      <c r="E27" s="93"/>
      <c r="F27" s="93"/>
      <c r="G27" s="93"/>
      <c r="H27" s="93"/>
    </row>
    <row r="28" spans="2:8" ht="7.5" customHeight="1" x14ac:dyDescent="0.3"/>
    <row r="29" spans="2:8" ht="15" customHeight="1" x14ac:dyDescent="0.3">
      <c r="B29" s="66" t="s">
        <v>213</v>
      </c>
      <c r="C29" s="66" t="s">
        <v>300</v>
      </c>
      <c r="E29" s="66" t="s">
        <v>214</v>
      </c>
      <c r="F29" s="66" t="s">
        <v>300</v>
      </c>
    </row>
    <row r="30" spans="2:8" ht="19.5" customHeight="1" x14ac:dyDescent="0.3">
      <c r="B30" s="68" t="s">
        <v>222</v>
      </c>
      <c r="C30" s="81">
        <f>'7. Síntese'!C21</f>
        <v>7</v>
      </c>
      <c r="E30" s="68" t="s">
        <v>229</v>
      </c>
      <c r="F30" s="81">
        <f>'7. Síntese'!C26</f>
        <v>4</v>
      </c>
    </row>
    <row r="31" spans="2:8" ht="19.5" customHeight="1" x14ac:dyDescent="0.3">
      <c r="B31" s="73" t="s">
        <v>295</v>
      </c>
      <c r="C31" s="81">
        <f>'7. Síntese'!C22</f>
        <v>0</v>
      </c>
      <c r="E31" s="73" t="s">
        <v>218</v>
      </c>
      <c r="F31" s="81">
        <f>'7. Síntese'!C25</f>
        <v>3</v>
      </c>
    </row>
    <row r="32" spans="2:8" ht="19.5" customHeight="1" x14ac:dyDescent="0.3">
      <c r="B32" s="75" t="s">
        <v>217</v>
      </c>
      <c r="C32" s="81">
        <f>'7. Síntese'!C23</f>
        <v>5</v>
      </c>
      <c r="E32" s="75" t="s">
        <v>223</v>
      </c>
      <c r="F32" s="81">
        <f>'7. Síntese'!C24</f>
        <v>5</v>
      </c>
    </row>
    <row r="33" spans="2:6" ht="19.5" customHeight="1" x14ac:dyDescent="0.3">
      <c r="B33" s="77" t="s">
        <v>296</v>
      </c>
      <c r="C33" s="81">
        <f>COUNTIF('6. Análise Crítica'!C11:C28,"Não aplicável")</f>
        <v>0</v>
      </c>
      <c r="E33" s="77" t="s">
        <v>293</v>
      </c>
      <c r="F33" s="81">
        <f>COUNTIF('6. Análise Crítica'!D11:D28,"Não identificado")</f>
        <v>0</v>
      </c>
    </row>
    <row r="34" spans="2:6" ht="12" customHeight="1" x14ac:dyDescent="0.3"/>
    <row r="36" spans="2:6" ht="15" customHeight="1" x14ac:dyDescent="0.3">
      <c r="B36" s="79" t="s">
        <v>301</v>
      </c>
      <c r="E36" s="79" t="s">
        <v>302</v>
      </c>
    </row>
    <row r="48" spans="2:6" ht="13.5" customHeight="1" x14ac:dyDescent="0.3"/>
    <row r="49" spans="2:8" ht="13.5" customHeight="1" x14ac:dyDescent="0.3"/>
    <row r="50" spans="2:8" ht="13.5" customHeight="1" x14ac:dyDescent="0.3"/>
    <row r="51" spans="2:8" ht="13.5" customHeight="1" x14ac:dyDescent="0.3"/>
    <row r="52" spans="2:8" ht="13.5" customHeight="1" x14ac:dyDescent="0.3"/>
    <row r="53" spans="2:8" ht="18" customHeight="1" x14ac:dyDescent="0.3">
      <c r="B53" s="64" t="s">
        <v>303</v>
      </c>
      <c r="C53" s="65" t="s">
        <v>304</v>
      </c>
    </row>
    <row r="54" spans="2:8" ht="13.5" customHeight="1" x14ac:dyDescent="0.3">
      <c r="B54" s="93" t="s">
        <v>305</v>
      </c>
      <c r="C54" s="93"/>
      <c r="D54" s="93"/>
      <c r="E54" s="93"/>
      <c r="F54" s="93"/>
      <c r="G54" s="93"/>
      <c r="H54" s="93"/>
    </row>
    <row r="55" spans="2:8" ht="7.5" customHeight="1" x14ac:dyDescent="0.3"/>
    <row r="56" spans="2:8" ht="21.75" customHeight="1" x14ac:dyDescent="0.3">
      <c r="B56" s="66" t="s">
        <v>212</v>
      </c>
      <c r="F56" s="67" t="s">
        <v>213</v>
      </c>
      <c r="G56" s="67" t="s">
        <v>306</v>
      </c>
      <c r="H56" s="66" t="s">
        <v>215</v>
      </c>
    </row>
    <row r="57" spans="2:8" ht="36" customHeight="1" x14ac:dyDescent="0.3">
      <c r="B57" s="82" t="str">
        <f>_xlfn._xlws.FILTER('6. Análise Crítica'!B11:B28,('6. Análise Crítica'!C11:C28="Não conforme")+('6. Análise Crítica'!D11:D28="Alto"),"Nenhum item prioritário identificado.")</f>
        <v>A metodologia adotada está claramente documentada?</v>
      </c>
      <c r="F57" s="83" t="str">
        <f>_xlfn._xlws.FILTER('6. Análise Crítica'!C11:C28,('6. Análise Crítica'!C11:C28="Não conforme")+('6. Análise Crítica'!D11:D28="Alto"),"")</f>
        <v>Não conforme</v>
      </c>
      <c r="G57" s="83" t="str">
        <f>_xlfn._xlws.FILTER('6. Análise Crítica'!D11:D28,('6. Análise Crítica'!C11:C28="Não conforme")+('6. Análise Crítica'!D11:D28="Alto"),"")</f>
        <v>Médio</v>
      </c>
      <c r="H57" s="84">
        <f>_xlfn._xlws.FILTER('6. Análise Crítica'!E11:E28,('6. Análise Crítica'!C11:C28="Não conforme")+('6. Análise Crítica'!D11:D28="Alto"),"")</f>
        <v>0</v>
      </c>
    </row>
    <row r="58" spans="2:8" ht="36" customHeight="1" x14ac:dyDescent="0.3">
      <c r="B58" s="82"/>
      <c r="F58" s="83"/>
      <c r="G58" s="83"/>
      <c r="H58" s="84"/>
    </row>
    <row r="59" spans="2:8" ht="36" customHeight="1" x14ac:dyDescent="0.3">
      <c r="B59" s="82"/>
      <c r="F59" s="83"/>
      <c r="G59" s="83"/>
      <c r="H59" s="84"/>
    </row>
    <row r="60" spans="2:8" ht="36" customHeight="1" x14ac:dyDescent="0.3">
      <c r="B60" s="82"/>
      <c r="F60" s="83"/>
      <c r="G60" s="83"/>
      <c r="H60" s="84"/>
    </row>
    <row r="61" spans="2:8" ht="36" customHeight="1" x14ac:dyDescent="0.3">
      <c r="B61" s="82"/>
      <c r="F61" s="83"/>
      <c r="G61" s="83"/>
      <c r="H61" s="84"/>
    </row>
    <row r="62" spans="2:8" ht="36" customHeight="1" x14ac:dyDescent="0.3">
      <c r="B62" s="82"/>
      <c r="F62" s="83"/>
      <c r="G62" s="83"/>
      <c r="H62" s="84"/>
    </row>
    <row r="63" spans="2:8" ht="36" customHeight="1" x14ac:dyDescent="0.3">
      <c r="B63" s="82"/>
      <c r="F63" s="83"/>
      <c r="G63" s="83"/>
      <c r="H63" s="84"/>
    </row>
    <row r="64" spans="2:8" ht="36" customHeight="1" x14ac:dyDescent="0.3">
      <c r="B64" s="82"/>
      <c r="F64" s="83"/>
      <c r="G64" s="83"/>
      <c r="H64" s="84"/>
    </row>
    <row r="65" spans="2:8" ht="36" customHeight="1" x14ac:dyDescent="0.3">
      <c r="B65" s="82"/>
      <c r="F65" s="83"/>
      <c r="G65" s="83"/>
      <c r="H65" s="84"/>
    </row>
    <row r="66" spans="2:8" ht="36" customHeight="1" x14ac:dyDescent="0.3">
      <c r="B66" s="82"/>
      <c r="F66" s="83"/>
      <c r="G66" s="83"/>
      <c r="H66" s="84"/>
    </row>
    <row r="67" spans="2:8" ht="36" customHeight="1" x14ac:dyDescent="0.3">
      <c r="B67" s="82"/>
      <c r="F67" s="83"/>
      <c r="G67" s="83"/>
      <c r="H67" s="84"/>
    </row>
    <row r="68" spans="2:8" ht="36" customHeight="1" x14ac:dyDescent="0.3">
      <c r="B68" s="82"/>
      <c r="F68" s="83"/>
      <c r="G68" s="83"/>
      <c r="H68" s="84"/>
    </row>
    <row r="69" spans="2:8" ht="36" customHeight="1" x14ac:dyDescent="0.3">
      <c r="B69" s="82"/>
      <c r="F69" s="83"/>
      <c r="G69" s="83"/>
      <c r="H69" s="84"/>
    </row>
    <row r="71" spans="2:8" ht="21.75" customHeight="1" x14ac:dyDescent="0.3">
      <c r="B71" s="94" t="s">
        <v>307</v>
      </c>
      <c r="C71" s="94"/>
      <c r="D71" s="94"/>
      <c r="E71" s="94"/>
      <c r="F71" s="94"/>
      <c r="G71" s="94"/>
      <c r="H71" s="94"/>
    </row>
  </sheetData>
  <mergeCells count="9">
    <mergeCell ref="B17:H17"/>
    <mergeCell ref="B27:H27"/>
    <mergeCell ref="B54:H54"/>
    <mergeCell ref="B71:H71"/>
    <mergeCell ref="A1:G5"/>
    <mergeCell ref="B6:H6"/>
    <mergeCell ref="B7:H7"/>
    <mergeCell ref="B8:H8"/>
    <mergeCell ref="B14:H14"/>
  </mergeCells>
  <conditionalFormatting sqref="C20:F23">
    <cfRule type="cellIs" dxfId="4" priority="2" operator="equal">
      <formula>0</formula>
    </cfRule>
  </conditionalFormatting>
  <conditionalFormatting sqref="F57:F69">
    <cfRule type="expression" dxfId="3" priority="18">
      <formula>$F57="Não conforme"</formula>
    </cfRule>
    <cfRule type="expression" dxfId="2" priority="19">
      <formula>$F57="Parcialmente conforme"</formula>
    </cfRule>
  </conditionalFormatting>
  <conditionalFormatting sqref="G57:G69">
    <cfRule type="expression" dxfId="1" priority="20">
      <formula>$G57="Alto"</formula>
    </cfRule>
    <cfRule type="expression" dxfId="0" priority="21">
      <formula>$G57="Médio"</formula>
    </cfRule>
  </conditionalFormatting>
  <pageMargins left="0.4" right="0.4" top="0.4" bottom="0.4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Instruções</vt:lpstr>
      <vt:lpstr>0. Capa</vt:lpstr>
      <vt:lpstr>1. Identificação</vt:lpstr>
      <vt:lpstr>2. Metodologia</vt:lpstr>
      <vt:lpstr>3. Referências</vt:lpstr>
      <vt:lpstr>4. Componentes</vt:lpstr>
      <vt:lpstr>5. Justificativa</vt:lpstr>
      <vt:lpstr>6. Análise Crítica</vt:lpstr>
      <vt:lpstr>7. Síntese</vt:lpstr>
      <vt:lpstr>8. Relatório</vt:lpstr>
      <vt:lpstr>9. Dashboard</vt:lpstr>
      <vt:lpstr>'9. Dashboard'!Area_de_impressao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Dias Pereira;Jefferson Douglas dos Santos Passos</dc:creator>
  <cp:keywords>CAGE/RS</cp:keywords>
  <dc:description/>
  <cp:lastModifiedBy>Bruno Dias Pereira</cp:lastModifiedBy>
  <cp:revision>7</cp:revision>
  <dcterms:created xsi:type="dcterms:W3CDTF">2026-04-22T18:43:00Z</dcterms:created>
  <dcterms:modified xsi:type="dcterms:W3CDTF">2026-05-04T20:35:26Z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ActionId">
    <vt:lpwstr>4a732132-e36c-4ce3-abef-dd63e98754a6</vt:lpwstr>
  </property>
  <property fmtid="{D5CDD505-2E9C-101B-9397-08002B2CF9AE}" pid="3" name="MSIP_Label_7dc0926b-a436-4c88-b8c0-5877261a3f6f_ContentBits">
    <vt:lpwstr>0</vt:lpwstr>
  </property>
  <property fmtid="{D5CDD505-2E9C-101B-9397-08002B2CF9AE}" pid="4" name="MSIP_Label_7dc0926b-a436-4c88-b8c0-5877261a3f6f_Enabled">
    <vt:lpwstr>true</vt:lpwstr>
  </property>
  <property fmtid="{D5CDD505-2E9C-101B-9397-08002B2CF9AE}" pid="5" name="MSIP_Label_7dc0926b-a436-4c88-b8c0-5877261a3f6f_Method">
    <vt:lpwstr>Standard</vt:lpwstr>
  </property>
  <property fmtid="{D5CDD505-2E9C-101B-9397-08002B2CF9AE}" pid="6" name="MSIP_Label_7dc0926b-a436-4c88-b8c0-5877261a3f6f_Name">
    <vt:lpwstr>None</vt:lpwstr>
  </property>
  <property fmtid="{D5CDD505-2E9C-101B-9397-08002B2CF9AE}" pid="7" name="MSIP_Label_7dc0926b-a436-4c88-b8c0-5877261a3f6f_SetDate">
    <vt:lpwstr>2026-04-22T18:59:45Z</vt:lpwstr>
  </property>
  <property fmtid="{D5CDD505-2E9C-101B-9397-08002B2CF9AE}" pid="8" name="MSIP_Label_7dc0926b-a436-4c88-b8c0-5877261a3f6f_SiteId">
    <vt:lpwstr>83bd090b-756e-4a02-a512-e5ea02c03041</vt:lpwstr>
  </property>
  <property fmtid="{D5CDD505-2E9C-101B-9397-08002B2CF9AE}" pid="9" name="MSIP_Label_7dc0926b-a436-4c88-b8c0-5877261a3f6f_Tag">
    <vt:lpwstr>10, 3, 0, 1</vt:lpwstr>
  </property>
</Properties>
</file>