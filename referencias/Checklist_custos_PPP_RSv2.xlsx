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efazrsgov-my.sharepoint.com/personal/brunodp_sefaz_rs_gov_br/Documents/2026/GT PPP/Entregas/Arquivos Excel/"/>
    </mc:Choice>
  </mc:AlternateContent>
  <xr:revisionPtr revIDLastSave="0" documentId="8_{9D753166-2966-432E-BE4D-C425FCF990AA}" xr6:coauthVersionLast="47" xr6:coauthVersionMax="47" xr10:uidLastSave="{00000000-0000-0000-0000-000000000000}"/>
  <bookViews>
    <workbookView xWindow="-38520" yWindow="-9165" windowWidth="38640" windowHeight="15720" tabRatio="500" activeTab="1" xr2:uid="{00000000-000D-0000-FFFF-FFFF00000000}"/>
  </bookViews>
  <sheets>
    <sheet name="Instruções" sheetId="1" r:id="rId1"/>
    <sheet name="Matriz" sheetId="2" r:id="rId2"/>
    <sheet name="Educação" sheetId="3" r:id="rId3"/>
    <sheet name="Saúde" sheetId="4" r:id="rId4"/>
    <sheet name="Transportes-Rodovias" sheetId="5" r:id="rId5"/>
    <sheet name="Segurança-Prisional" sheetId="6" r:id="rId6"/>
    <sheet name="Edificações-FM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4" i="7" l="1"/>
  <c r="F3" i="7"/>
  <c r="D3" i="7"/>
  <c r="J14" i="6"/>
  <c r="F3" i="6"/>
  <c r="D3" i="6"/>
  <c r="J14" i="5"/>
  <c r="F3" i="5"/>
  <c r="D3" i="5"/>
  <c r="J14" i="4"/>
  <c r="F3" i="4"/>
  <c r="D3" i="4"/>
  <c r="J14" i="3"/>
  <c r="F3" i="3"/>
  <c r="D3" i="3"/>
  <c r="L53" i="2"/>
  <c r="G3" i="2"/>
  <c r="E3" i="2"/>
</calcChain>
</file>

<file path=xl/sharedStrings.xml><?xml version="1.0" encoding="utf-8"?>
<sst xmlns="http://schemas.openxmlformats.org/spreadsheetml/2006/main" count="810" uniqueCount="362">
  <si>
    <t>CHECKLIST PARA IDENTIFICAÇÃO DE CUSTOS EM PPPs</t>
  </si>
  <si>
    <t>Este checklist é não exaustivo e destina-se a mitigar o risco de existirem custos não capturados no modelo de VfM, não substituindo a modelagem financeira detalhada do projeto.</t>
  </si>
  <si>
    <t>Natureza — Desembolso certo</t>
  </si>
  <si>
    <t>Natureza — Contingente explícito</t>
  </si>
  <si>
    <t>Pagamento condicionado a evento futuro incerto previsto em contrato. Registrar como valor esperado (EV) no VfM.</t>
  </si>
  <si>
    <t>Natureza — Contingente implícito</t>
  </si>
  <si>
    <t>Natureza — Ajuste metodológico</t>
  </si>
  <si>
    <t>VfM Quantitativo — Sim</t>
  </si>
  <si>
    <t>O item deve ser quantificado e incluído no modelo financeiro do VfM / PSC.</t>
  </si>
  <si>
    <t>VfM Quantitativo — Parcial / EV</t>
  </si>
  <si>
    <t>Incluir como valor esperado (probabilidade × impacto) ou por análise de cenários.</t>
  </si>
  <si>
    <t>Risco Retido — Sim</t>
  </si>
  <si>
    <t>O Estado retém esse risco; deve ser alocado como custo de risco retido no PSC.</t>
  </si>
  <si>
    <t>Estrutura da Planilha</t>
  </si>
  <si>
    <t>Instruções</t>
  </si>
  <si>
    <t>Matriz Genérica</t>
  </si>
  <si>
    <t>Educação</t>
  </si>
  <si>
    <t>Saúde</t>
  </si>
  <si>
    <t>Transportes / Rodovias</t>
  </si>
  <si>
    <t>Segurança / Prisional</t>
  </si>
  <si>
    <t>Edificações / FM</t>
  </si>
  <si>
    <t>Submatriz setorial: custos típicos de PPPs de sedes administrativas e facility management.</t>
  </si>
  <si>
    <t>Passo 1</t>
  </si>
  <si>
    <t>Abra a aba 'Matriz Genérica' e percorra os blocos A a F para cada projeto analisado.</t>
  </si>
  <si>
    <t>Passo 2</t>
  </si>
  <si>
    <t>Passo 3</t>
  </si>
  <si>
    <t>Passo 4</t>
  </si>
  <si>
    <t>Passo 5</t>
  </si>
  <si>
    <t>Passo 6</t>
  </si>
  <si>
    <t>O painel de resumo (linha 3) mostra automaticamente o total de itens marcados e o valor acumulado.</t>
  </si>
  <si>
    <t>Blocos A–F: custos comuns a qualquer PPP/concessão. Percorrer todos os blocos para cada projeto.</t>
  </si>
  <si>
    <t>RESUMO DO PROJETO:</t>
  </si>
  <si>
    <t>Nome do Projeto:</t>
  </si>
  <si>
    <t>Itens Aplicáveis:</t>
  </si>
  <si>
    <t>Total Estimado (R$):</t>
  </si>
  <si>
    <t>Bloco de Custo</t>
  </si>
  <si>
    <t>Item</t>
  </si>
  <si>
    <t>Descrição</t>
  </si>
  <si>
    <t>Natureza</t>
  </si>
  <si>
    <t>VfM Quant.</t>
  </si>
  <si>
    <t>Risco Retido</t>
  </si>
  <si>
    <t>Observações</t>
  </si>
  <si>
    <t>Aplicável?</t>
  </si>
  <si>
    <t>Valor Estimado (R$)</t>
  </si>
  <si>
    <t>Status</t>
  </si>
  <si>
    <t>A – Estruturação e Contratação</t>
  </si>
  <si>
    <t>A.1 Estudos de pré-viabilidade</t>
  </si>
  <si>
    <t>Custos de diagnóstico setorial, análise técnica preliminar, estudos de demanda e de escopo antes da aprovação formal do projeto pelo conselho gestor.</t>
  </si>
  <si>
    <t>Desembolso certo</t>
  </si>
  <si>
    <t>Estado</t>
  </si>
  <si>
    <t>Sim</t>
  </si>
  <si>
    <t>Não</t>
  </si>
  <si>
    <t>Inclui equipe interna e consultores externos. Quantificar horas-técnico e honorários.</t>
  </si>
  <si>
    <t>A.2 Contratação de consultores de modelagem</t>
  </si>
  <si>
    <t>Honorários de consultores jurídicos, financeiros, técnicos e ambientais para elaboração do EVTEA.</t>
  </si>
  <si>
    <t>Considerar parcelas para fase de estruturação e licitação separadamente.</t>
  </si>
  <si>
    <t>A.3 Chamamento Público / PMI / MIP</t>
  </si>
  <si>
    <t>Custos de publicação, condução e avaliação de Procedimento de Manifestação de Interesse ou Manifestação de Interesse Privado.</t>
  </si>
  <si>
    <t>Por exemplo, Comissão Especial de Avaliação e suporte jurídico.</t>
  </si>
  <si>
    <t>A.4 Ressarcimento de estudos ao setor privado</t>
  </si>
  <si>
    <t>Valor a ser pago ao autor dos estudos de PMI aproveitados pelo poder concedente quando o contrato for celebrado.</t>
  </si>
  <si>
    <t>Contingente explícito</t>
  </si>
  <si>
    <t>Quantificar como valor esperado.</t>
  </si>
  <si>
    <t>A.5 Apoio jurídico da PGE / Procuradoria</t>
  </si>
  <si>
    <t>Honorários ou custo-oportunidade de pareceres, revisão de edital, minuta contratual e suporte jurídico em todo o processo.</t>
  </si>
  <si>
    <t>Estimar com base em horas técnicas.</t>
  </si>
  <si>
    <t>A.6 Consulta pública e audiência pública</t>
  </si>
  <si>
    <t>Despesas com publicação, produção de documentos, realização de eventos, respostas e sistematização de contribuições.</t>
  </si>
  <si>
    <t>Inclui logística e publicações.</t>
  </si>
  <si>
    <t>A.7 Custos do processo licitatório</t>
  </si>
  <si>
    <t>Despesas com comissão de licitação, publicações oficiais, impugnações, recursos administrativos e diligências.</t>
  </si>
  <si>
    <t>Inclui eventual reembolso de custos de oferta a licitantes.</t>
  </si>
  <si>
    <t>A.8 Custos de estruturação financeira (SPE/project finance)</t>
  </si>
  <si>
    <t>Honorários legais para constituição da SPE, due diligence de financiadores, instrumentos fiduciários e garantias.</t>
  </si>
  <si>
    <t>Estado / Compartilhado</t>
  </si>
  <si>
    <t>Quando o Estado arca com parte desses custos para atrair financiadores em contexto de baixa maturidade institucional.</t>
  </si>
  <si>
    <t>B – Implantação</t>
  </si>
  <si>
    <t>B.1 Desapropriações e aquisição de áreas</t>
  </si>
  <si>
    <t>Custo de indenizações, custos judiciais e extrajudiciais para obtenção de áreas necessárias à implantação do projeto.</t>
  </si>
  <si>
    <t>Desembolso certo / Contingente</t>
  </si>
  <si>
    <t>Alocação depende da matriz de riscos.</t>
  </si>
  <si>
    <t>B.2 Reassentamentos</t>
  </si>
  <si>
    <t>Custo de remoção, indenização e apoio à reinstalação de populações e atividades afetadas pela implantação.</t>
  </si>
  <si>
    <t>Inclui custos sociais e de comunicação.</t>
  </si>
  <si>
    <t>B.3 Licenciamentos e autorizações ambientais</t>
  </si>
  <si>
    <t>Custos de estudos, taxas, contrapartidas ambientais e eventuais medidas compensatórias exigidas pelos órgãos licenciadores.</t>
  </si>
  <si>
    <t>Atrasos no licenciamento podem ser riscos. Prever contingência para revisão de escopo ambiental.</t>
  </si>
  <si>
    <t>B.4 Remanejamento de redes e interferências</t>
  </si>
  <si>
    <t>Custo de relocação de redes de energia, gás, saneamento, telecomunicações e outras interferências identificadas.</t>
  </si>
  <si>
    <t>Fonte de desequilíbrio contratual quando não mapeado na fase de modelagem.</t>
  </si>
  <si>
    <t>B.5 Obras preparatórias, acessos e canteiros</t>
  </si>
  <si>
    <t>Investimentos públicos prévios necessários para viabilizar a intervenção principal: acessos viários, infraestrutura de canteiro, energia provisória.</t>
  </si>
  <si>
    <t>Verificar se esses custos estão no escopo do parceiro privado ou permanecem com o Estado.</t>
  </si>
  <si>
    <t>B.6 Transição operacional e continuidade do serviço</t>
  </si>
  <si>
    <t>Custos de manutenção do serviço existente durante o período de obras: operação paralela, contratações emergenciais, adaptações.</t>
  </si>
  <si>
    <t>Inclui aluguel de espaços provisórios e comunicação com usuários.</t>
  </si>
  <si>
    <t>B.7 Ocupação temporária de imóveis</t>
  </si>
  <si>
    <t>Indenizações ou locações por uso temporário de áreas necessárias durante obras.</t>
  </si>
  <si>
    <t>Mapear necessidade de ocupação temporária já na fase de modelagem.</t>
  </si>
  <si>
    <t>B.8 Adequação do serviço público durante obras</t>
  </si>
  <si>
    <t>Custos adicionais de serviços substitutivos, reforços de pessoal e comunicação com usuários durante o período de implantação.</t>
  </si>
  <si>
    <t>Considerar perda de capacidade operacional durante a transição.</t>
  </si>
  <si>
    <t>C – Operação e Manutenção</t>
  </si>
  <si>
    <t>C.1 Contraprestação pública</t>
  </si>
  <si>
    <t>Pagamentos regulares ao parceiro privado, condicionados à disponibilidade e desempenho do serviço, ao longo de toda a vigência contratual.</t>
  </si>
  <si>
    <t>Projetar ano a ano em valores nominais e VPL. Verificar limites LRF e cap de 5% da RCL.</t>
  </si>
  <si>
    <t>C.2 Aportes públicos de capital</t>
  </si>
  <si>
    <t>Contribuições de recursos públicos para compensar o parceiro privado por investimentos em bens reversíveis, concentrados nas fases iniciais.</t>
  </si>
  <si>
    <t>Impacto orçamentário concentrado na fase inicial.</t>
  </si>
  <si>
    <t>C.3 Subsídios tarifários</t>
  </si>
  <si>
    <t>Complementação de tarifas para garantir modicidade ou reembolso relativo a populações vulneráveis não cobertas pela tarifa de mercado.</t>
  </si>
  <si>
    <t>Distinguir de contraprestação. Pode ser pago diretamente ao usuário ou ao concessionário.</t>
  </si>
  <si>
    <t>C.4 Utilidades e insumos custeados pelo Estado</t>
  </si>
  <si>
    <t>Custos de energia elétrica, água, gás, telecomunicações e outros insumos que permanecem sob responsabilidade do poder concedente.</t>
  </si>
  <si>
    <t>Verificar se a matriz de responsabilidades atribui esses custos ao Estado ou ao privado.</t>
  </si>
  <si>
    <t>C.5 Despesas de interface com outros órgãos</t>
  </si>
  <si>
    <t>Custos de coordenação, ajustes operacionais e articulação com outros entes públicos (municípios, órgãos federais, reguladores).</t>
  </si>
  <si>
    <t>Inclui convênios e acordos operacionais com outros entes.</t>
  </si>
  <si>
    <t>C.6 Gestão pública de pessoal remanescente</t>
  </si>
  <si>
    <t>Custo de servidores públicos que continuam prestando serviços conexos ao objeto da PPP (funções não delegáveis).</t>
  </si>
  <si>
    <t>Considerar diferenças de regime previdenciário entre estatutários e CLT.</t>
  </si>
  <si>
    <t>D – Governança Contratual</t>
  </si>
  <si>
    <t>D.1 Equipe pública de gestão contratual</t>
  </si>
  <si>
    <t>Custo total da equipe de gestão e fiscalização do contrato ao longo de toda a vigência.</t>
  </si>
  <si>
    <t>Agência implementadora deve orçar custo da equipe e capacitação.</t>
  </si>
  <si>
    <t>D.2 Verificador / certificador independente externo</t>
  </si>
  <si>
    <t>Honorários do agente externo que audita e certifica o desempenho do parceiro privado frente às obrigações contratuais.</t>
  </si>
  <si>
    <t>Pode ser contratado pelo Estado ou pelo privado.</t>
  </si>
  <si>
    <t>D.3 Sistemas de monitoramento de KPIs</t>
  </si>
  <si>
    <t>Custo de aquisição, implantação e manutenção de sistemas de informação, coleta de dados e relatórios de desempenho.</t>
  </si>
  <si>
    <t>Custo cresce com a complexidade do Quadro de Indicadores de Desempenho.</t>
  </si>
  <si>
    <t>D.4 Comitê gestor e instâncias colegiadas</t>
  </si>
  <si>
    <t>Despesas operacionais de comitês, reuniões, pareceres técnicos e consultorias de suporte ao comitê gestor.</t>
  </si>
  <si>
    <t>Incluir custo de deslocamentos, viagens, consultores eventuais e suporte administrativo.</t>
  </si>
  <si>
    <t>D.5 Regulação setorial</t>
  </si>
  <si>
    <t>Custo da estrutura regulatória (agência ou câmara técnica) de supervisão econômica, tarifária e de qualidade do serviço.</t>
  </si>
  <si>
    <t>Verificar se o custo do regulador já está capturado.</t>
  </si>
  <si>
    <t>D.6 Auditorias e controle externo</t>
  </si>
  <si>
    <t>Despesas do órgão de controle decorrentes de fiscalização específica do contrato de PPP.</t>
  </si>
  <si>
    <t>Custo de controle interno e externo.</t>
  </si>
  <si>
    <t>D.7 Compliance fiscal e contábil</t>
  </si>
  <si>
    <t>Custo de elaboração, envio e manutenção de relatórios e comunicados exigidos ao longo do contrato.</t>
  </si>
  <si>
    <t>Inclui custo de comunicação.</t>
  </si>
  <si>
    <t>E – Riscos e Contingências</t>
  </si>
  <si>
    <t>E.1 Risco de demanda retido pelo Estado</t>
  </si>
  <si>
    <t>Valor esperado do custo ao Estado resultante de demanda inferior à projetada, quando o risco não foi integralmente transferido ao privado.</t>
  </si>
  <si>
    <t>Sim (EV)</t>
  </si>
  <si>
    <t>Calcular por análise de cenários ou probabilística. Incluir garantia de receita mínima se prevista.</t>
  </si>
  <si>
    <t>E.2 Garantias de risco cambial e financeiro</t>
  </si>
  <si>
    <t>Custo esperado de garantias de câmbio ou indexadores quando o Estado assume exposição a variáveis macroeconômicas.</t>
  </si>
  <si>
    <t>Por exemplo, mensuração de garantias de câmbio.</t>
  </si>
  <si>
    <t>E.3 Eventos de reequilíbrio econômico-financeiro</t>
  </si>
  <si>
    <t>Custo esperado de reequilíbrios por fatos imprevisíveis, alterações legislativas ou restrições administrativas imputáveis ao Estado.</t>
  </si>
  <si>
    <t>Distinguir reequilíbrio por ação/omissão do Estado (custo do Estado) de evento de mercado.</t>
  </si>
  <si>
    <t>E.4 Renegociações contratuais</t>
  </si>
  <si>
    <t>Custo esperado de renegociações ao longo da vigência contratual.</t>
  </si>
  <si>
    <t>Estimativa dos custos.</t>
  </si>
  <si>
    <t>E.5 Passivos ambientais e socioambientais</t>
  </si>
  <si>
    <t>Custo esperado de remediação, indenizações e medidas corretivas por passivos ambientais identificados durante a execução do contrato.</t>
  </si>
  <si>
    <t>Depende da alocação na matriz de riscos.</t>
  </si>
  <si>
    <t>E.6 Término antecipado — inadimplência do Estado</t>
  </si>
  <si>
    <t>Pagamentos de rescisão devidos ao parceiro privado quando o término antecipado é causado por inadimplência ou ato do poder concedente.</t>
  </si>
  <si>
    <t>Valor pode ser baseado em investimentos não amortizados mais lucros cessantes previstos.</t>
  </si>
  <si>
    <t>E.7 Término antecipado — inadimplência do privado</t>
  </si>
  <si>
    <t>Custo líquido ao Estado de retomada do serviço quando o término é causado por inadimplência do parceiro privado.</t>
  </si>
  <si>
    <t>Inclui custo de nova licitação, operação emergencial e eventual indenização de financiadores.</t>
  </si>
  <si>
    <t>E.8 Término antecipado — força maior</t>
  </si>
  <si>
    <t>Custo de compensações e retomada operacional em caso de força maior que inviabilize o contrato.</t>
  </si>
  <si>
    <t>Definir os eventos de força maior no contrato para reduzir ambiguidades.</t>
  </si>
  <si>
    <t>E.9 Litígios e arbitragem</t>
  </si>
  <si>
    <t>Custo esperado de processos judiciais, arbitrais ou de mediação ao longo da vida do contrato.</t>
  </si>
  <si>
    <t>Prever cláusula de resolução de disputas (negociação, mediação, arbitragem) para reduzir custos.</t>
  </si>
  <si>
    <t>E.10 Passivos contingentes implícitos</t>
  </si>
  <si>
    <t>Obrigações morais não contratuais: operação emergencial por falência da SPE, pressão política para mudança de escopo, resposta a crises de serviço.</t>
  </si>
  <si>
    <t>Contingente implícito</t>
  </si>
  <si>
    <t>Parcial (cenários)</t>
  </si>
  <si>
    <t>Registrar como risco qualitativo no VfM com análise de cenários.</t>
  </si>
  <si>
    <t>F – Custos Fiscais e Financeiros</t>
  </si>
  <si>
    <t>F.1 Neutralidade competitiva (ajuste tributário)</t>
  </si>
  <si>
    <t>Ajuste no PSC para equiparar tratamentos tributários diferenciados entre o projeto público e o privado (IPTU, ISS, IR, CSLL, PIS/COFINS).</t>
  </si>
  <si>
    <t>Ajuste metodológico</t>
  </si>
  <si>
    <t>Ajuste de neutralidade competitiva exigido para comparação justa.</t>
  </si>
  <si>
    <t>F.2 Ajuste de regime previdenciário</t>
  </si>
  <si>
    <t>Diferença de custo entre regimes de previdência do pessoal público e do parceiro privado para fins de comparabilidade.</t>
  </si>
  <si>
    <t>Considerar diferenças entre regime público e privado.</t>
  </si>
  <si>
    <t>F.3 Custo de capital e taxa de desconto do Estado</t>
  </si>
  <si>
    <t>Custo de oportunidade do capital público imobilizado em garantias, aportes e fundos garantidores da PPP.</t>
  </si>
  <si>
    <t>Custo fiscal</t>
  </si>
  <si>
    <t>Adotar taxa recomendada pelo órgão competente.</t>
  </si>
  <si>
    <t>F.4 Constituição e manutenção do fundo garantidor</t>
  </si>
  <si>
    <t>Custo de capitalização e manutenção do instrumento de garantia das obrigações pecuniárias do Estado perante o parceiro privado.</t>
  </si>
  <si>
    <t>Custo de constituição e manutenção do fundo.</t>
  </si>
  <si>
    <t>F.5 Prêmio de seguro-garantia público</t>
  </si>
  <si>
    <t>Prêmio pago pelo Estado para contratação de seguro-garantia das obrigações do poder concedente.</t>
  </si>
  <si>
    <t>Alternativa ou complemento ao fundo garantidor. Quantificar com base em cotações de mercado.</t>
  </si>
  <si>
    <t>F.6 Impacto orçamentário e limites LRF</t>
  </si>
  <si>
    <t>Comprometimento da RCL com pagamentos de PPP (teto de 5% federal; limites estaduais) e impacto nas metas de resultado fiscal.</t>
  </si>
  <si>
    <t>Restrição fiscal</t>
  </si>
  <si>
    <t>Análise de sustentabilidade fiscal deve cobrir duração da PPP.</t>
  </si>
  <si>
    <t>F.7 Tratamento contábil e reconhecimento de passivos</t>
  </si>
  <si>
    <t>Custo de adequação contábil para reconhecimento de ativos e passivos de PPP no balanço público conforme padrões IPSAS/MCASP.</t>
  </si>
  <si>
    <t>Custo fiscal / administrativo</t>
  </si>
  <si>
    <t>Parcial</t>
  </si>
  <si>
    <t>Reconhecimento contábil afeta capacidade de endividamento e métricas fiscais do Estado.</t>
  </si>
  <si>
    <t>F.8 Custos de encerramento e reversão de bens</t>
  </si>
  <si>
    <t>Despesas de avaliação patrimonial, auditoria técnica, transferência e eventual recuperação dos bens revertidos ao Estado no fim do contrato.</t>
  </si>
  <si>
    <t>Planejar com antecedência.</t>
  </si>
  <si>
    <t>TOTAL ITENS APLICÁVEIS:</t>
  </si>
  <si>
    <t>Custos adicionais típicos de PPPs de edificações e serviços educacionais, especialmente em projetos que envolvem demolição/reforma de unidades em funcionamento.</t>
  </si>
  <si>
    <t>Edu.1 Realocação temporária de alunos</t>
  </si>
  <si>
    <t>Logística e custos de transferência de alunos para unidades provisórias durante as obras da escola PPP.</t>
  </si>
  <si>
    <t>Dimensionar por número de alunos afetados e distância de deslocamento.</t>
  </si>
  <si>
    <t>Edu.2 Aluguel/adaptação de espaços provisórios</t>
  </si>
  <si>
    <t>Locação ou adaptação de galpões, igrejas, clubes ou outras instalações para funcionamento temporário das aulas.</t>
  </si>
  <si>
    <t>Incluir obras de adaptação para requisitos mínimos de segurança e acessibilidade.</t>
  </si>
  <si>
    <t>Edu.3 Transporte escolar extraordinário</t>
  </si>
  <si>
    <t>Custo adicional de transporte escolar para atender alunos que tiverem de se deslocar a unidade provisória mais distante.</t>
  </si>
  <si>
    <t>Verificar responsabilidade municipal ou estadual conforme etapa de ensino.</t>
  </si>
  <si>
    <t>Edu.4 Mudança de mobiliário e acervo</t>
  </si>
  <si>
    <t>Desmontagem, transporte, armazenagem e reinstalação de mobiliário, acervo bibliográfico e equipamentos pedagógicos.</t>
  </si>
  <si>
    <t>Prever no início das obras e no retorno à unidade definitiva.</t>
  </si>
  <si>
    <t>Edu.5 Reforço de merenda, limpeza e vigilância provisória</t>
  </si>
  <si>
    <t>Custos adicionais de serviços de apoio na unidade provisória (refeitório, conservação, segurança patrimonial).</t>
  </si>
  <si>
    <t>Verificar se contrato inclui esses serviços ou se permanecem com o Estado.</t>
  </si>
  <si>
    <t>Edu.6 Comunicação com famílias e gestão da transição</t>
  </si>
  <si>
    <t>Custo de campanhas de comunicação, reuniões com pais, canais de atendimento e gestão das reclamações durante a transição.</t>
  </si>
  <si>
    <t>Impacto pode ser relevante.</t>
  </si>
  <si>
    <t>Edu.7 Perda temporária de capacidade/turnos</t>
  </si>
  <si>
    <t>Custo de reposição de vagas em outros estabelecimentos quando a unidade provisória tem capacidade reduzida.</t>
  </si>
  <si>
    <t>Custo de oportunidade</t>
  </si>
  <si>
    <t>Relevante em municípios com alta demanda por vagas.</t>
  </si>
  <si>
    <t>Edu.8 Supervisão pedagógica da transição</t>
  </si>
  <si>
    <t>Custo de equipe técnica da Secretaria de Educação dedicada à gestão pedagógica e administrativa da transição operacional.</t>
  </si>
  <si>
    <t>Risco de ser absorvido na rotina sem contabilização separada.</t>
  </si>
  <si>
    <t>Sau.1 Desmobilização e remanejamento de leitos/serviços</t>
  </si>
  <si>
    <t>Custo de preparação, desmontagem e reinstalação de leitos, equipamentos e serviços clínicos para outra unidade durante as obras.</t>
  </si>
  <si>
    <t>Inclui custo de calibração e requalificação de equipamentos após reinstalação.</t>
  </si>
  <si>
    <t>Sau.2 Hospital de campanha ou unidade de apoio temporária</t>
  </si>
  <si>
    <t>Montagem, operação e desmobilização de estrutura temporária para manter a capacidade instalada durante obras.</t>
  </si>
  <si>
    <t>Alto custo; avaliar alternativa de contrato de locação de unidade hospitalar privada.</t>
  </si>
  <si>
    <t>Sau.3 Transferência assistida de pacientes</t>
  </si>
  <si>
    <t>Custo logístico e clínico de transferência segura de pacientes internados, inclusive UTI e casos complexos.</t>
  </si>
  <si>
    <t>Exige protocolo clínico específico e equipe de saúde adicional durante a transferência.</t>
  </si>
  <si>
    <t>Sau.4 Redundância operacional para evitar interrupção</t>
  </si>
  <si>
    <t>Manutenção de equipes e insumos adicionais para garantir continuidade assistencial durante a fase crítica de transição.</t>
  </si>
  <si>
    <t>Custo vinculado à taxa de ocupação e à criticidade dos serviços afetados.</t>
  </si>
  <si>
    <t>Sau.5 Validação sanitária e comissionamento</t>
  </si>
  <si>
    <t>Custo de vistoria da ANVISA/VISA e outros órgãos para habilitação da nova unidade, incluindo adequações exigidas.</t>
  </si>
  <si>
    <t>Risco de exigências adicionais pelos órgãos sanitários pode gerar custos imprevistos.</t>
  </si>
  <si>
    <t>Sau.6 Pessoal de saúde de referência não delegável</t>
  </si>
  <si>
    <t>Custo de médicos, enfermeiros e técnicos servidores que continuam prestando serviços assistenciais diretos não incluídos no escopo da PPP.</t>
  </si>
  <si>
    <t>Diferença de regime previdenciário e vínculo empregatício.</t>
  </si>
  <si>
    <t>Sau.7 Insumos e medicamentos fornecidos pelo Estado</t>
  </si>
  <si>
    <t>Medicamentos, OPMEs e insumos clínicos de responsabilidade do Estado que integram o protocolo assistencial do serviço concedido.</t>
  </si>
  <si>
    <t>Mapear o que integra o escopo da PPP e o que permanece com a Secretaria de Saúde.</t>
  </si>
  <si>
    <t>Sau.8 Contrarreferência e regulação assistencial</t>
  </si>
  <si>
    <t>Custo de estrutura de regulação de acesso (centrais de regulação, sistemas de referência) para integrar a unidade PPP na rede de atenção à saúde.</t>
  </si>
  <si>
    <t>Relevante para PPPs de especialidades ou urgência/emergência integradas ao SUS.</t>
  </si>
  <si>
    <t>Rod.1 Operação assistida durante obras</t>
  </si>
  <si>
    <t>Custo de pessoal e equipamentos públicos para garantir a segurança e fluidez do tráfego durante o período de obras na via.</t>
  </si>
  <si>
    <t>Verificar se o contrato atribui esse custo ao concessionário ou ao poder concedente.</t>
  </si>
  <si>
    <t>Rod.2 Desvios, rotas temporárias e sinalização extraordinária</t>
  </si>
  <si>
    <t>Custo de implantação, operação e remoção de desvios viários e sinalização especial durante obras.</t>
  </si>
  <si>
    <t>Risco de ser disputado contratualmente. Definir na matriz de responsabilidades.</t>
  </si>
  <si>
    <t>Rod.3 Desapropriações complementares por revisão de projeto</t>
  </si>
  <si>
    <t>Custo de desapropriações adicionais quando revisões de projeto executivo resultam em expansão da faixa de domínio.</t>
  </si>
  <si>
    <t>Risco de expropriação complementar a ser alocado na matriz de riscos.</t>
  </si>
  <si>
    <t>Rod.4 Passivos socioambientais em faixa de domínio</t>
  </si>
  <si>
    <t>Custo de remediação de áreas contaminadas, remoção de ocupações irregulares e passivos arqueológicos na faixa de domínio existente.</t>
  </si>
  <si>
    <t>Risco a ser alocado na matriz de riscos.</t>
  </si>
  <si>
    <t>Rod.5 Policiamento e controle de tráfego</t>
  </si>
  <si>
    <t>Custo adicional de policiamento rodoviário e monitoramento de tráfego durante fases críticas de obras e eventos especiais.</t>
  </si>
  <si>
    <t>Verificar responsabilidade entre PRF, Polícia Militar estadual e operador da concessão.</t>
  </si>
  <si>
    <t>Rod.6 Comunicação com usuários e gestão de crises</t>
  </si>
  <si>
    <t>Custo de campanhas de comunicação ao público sobre alterações de percurso, obras e tarifas.</t>
  </si>
  <si>
    <t>Responsabilidade pode ser compartilhada entre concessionário e poder concedente.</t>
  </si>
  <si>
    <t>Rod.7 Subsídio a usuários cativos (travessias, comunidades isoladas)</t>
  </si>
  <si>
    <t>Custo de isenção ou desconto tarifário para usuários sem alternativa de rota, quando a PPP implica cobrança de pedágio em via antes gratuita.</t>
  </si>
  <si>
    <t>Relevante do ponto de vista social.</t>
  </si>
  <si>
    <t>Rod.8 Investimentos públicos complementares (acessos urbanos, contornos)</t>
  </si>
  <si>
    <t>Obras viárias urbanas de acesso, contornos e interligações necessárias para viabilizar a rodovia concedida mas fora do escopo da concessão.</t>
  </si>
  <si>
    <t>Verificar responsabilidade entre Estado, municípios e concessionário.</t>
  </si>
  <si>
    <t>Custos adicionais típicos de PPPs de unidades prisionais ou similares. A gestão da transição de internos é o principal risco operacional e fiscal.</t>
  </si>
  <si>
    <t>Seg.1 Transferência temporária de internos/detentos</t>
  </si>
  <si>
    <t>Custo logístico, de segurança e assistencial da remoção de detentos da unidade em obras para outras unidades do sistema penitenciário.</t>
  </si>
  <si>
    <t>Exige planejamento de vagas receptoras e protocolos de segurança.</t>
  </si>
  <si>
    <t>Seg.2 Vagas contingenciais no sistema penitenciário</t>
  </si>
  <si>
    <t>Custo de ativação de capacidade adicional (regime diferenciado, unidades emergenciais) para absorver a superlotação durante a transição.</t>
  </si>
  <si>
    <t>Considerar fases graduais da transição para reduzir impacto.</t>
  </si>
  <si>
    <t>Seg.3 Reforço de escolta e logística de transferência</t>
  </si>
  <si>
    <t>Custo adicional de pessoal de segurança, viaturas e equipamentos para a operação de transferência massiva de detentos.</t>
  </si>
  <si>
    <t>Planejar com antecedência. Verificar capacidade da Polícia Penal.</t>
  </si>
  <si>
    <t>Seg.4 Operação paralela na transição</t>
  </si>
  <si>
    <t>Manutenção da unidade antiga em funcionamento reduzido enquanto a nova unidade PPP passa por fase de comissionamento e ajustes operacionais.</t>
  </si>
  <si>
    <t>Custo duplicado de operação; estimar período de sobreposição e percentual de capacidade.</t>
  </si>
  <si>
    <t>Seg.5 Funções de segurança não delegáveis (agentes públicos)</t>
  </si>
  <si>
    <t>Custo de agentes penitenciários servidores públicos que exercem funções de segurança interna não delegáveis ao parceiro privado.</t>
  </si>
  <si>
    <t>Mapear quais funções são não delegáveis por lei.</t>
  </si>
  <si>
    <t>Seg.6 Serviços de saúde e assistência social intramuros</t>
  </si>
  <si>
    <t>Custo de equipes de saúde, assistência social, educação e trabalho que o Estado mantém na unidade PPP por obrigação legal.</t>
  </si>
  <si>
    <t>Verificar financiamento federal, por ser passível de integrar o SUS.</t>
  </si>
  <si>
    <t>Seg.7 Gestão de incidentes e crises de segurança</t>
  </si>
  <si>
    <t>Custo de mobilização de forças de segurança estaduais para controle de crises (rebeliões, fugas) na unidade gerida pelo privado.</t>
  </si>
  <si>
    <t>Passivo contingente; definir no contrato os limites de responsabilidade do operador vs. Estado.</t>
  </si>
  <si>
    <t>Seg.8 Monitoramento judicial e cumprimento de penas</t>
  </si>
  <si>
    <t>Custo de interface com o Poder Judiciário (varas de execução penal) para gestão de decisões que afetem a população carcerária da unidade PPP.</t>
  </si>
  <si>
    <t>Custo administrativo; inclui processos, comunicações e deslocamentos.</t>
  </si>
  <si>
    <t>Custos adicionais típicos de PPPs de facility management, sedes administrativas, data centers e serviços de apoio não finalísticos ao setor público.</t>
  </si>
  <si>
    <t>Edi.1 Realocação de servidores e usuários</t>
  </si>
  <si>
    <t>Custo de transferência temporária de servidores para outros espaços de trabalho e de comunicação e adaptação aos usuários do serviço.</t>
  </si>
  <si>
    <t>Considerar impacto na produtividade e eventuais pagamentos de adicional de deslocamento.</t>
  </si>
  <si>
    <t>Edi.2 Aluguel de imóveis temporários</t>
  </si>
  <si>
    <t>Custo de locação de espaços provisórios para funcionamento de repartições, arquivos e serviços ao cidadão durante as obras.</t>
  </si>
  <si>
    <t>Prever custos de adaptação (TI, segurança, acessibilidade) do espaço locado.</t>
  </si>
  <si>
    <t>Edi.3 Mudança física e logística</t>
  </si>
  <si>
    <t>Custo de desmontagem, transporte, armazenagem e reinstalação de mobiliário, equipamentos e acervos documentais.</t>
  </si>
  <si>
    <t>Incluir digitalização de acervos e custos de guarda de documentos físicos durante a transição.</t>
  </si>
  <si>
    <t>Edi.4 Operação paralela de sistemas de TI</t>
  </si>
  <si>
    <t>Custo de manutenção de sistemas legados enquanto a nova infraestrutura de TI da edificação PPP é implantada e testada.</t>
  </si>
  <si>
    <t>Considerar risco de incompatibilidade de sistemas em edificações de gestão documental e de dados.</t>
  </si>
  <si>
    <t>Edi.5 Conectividade e infraestrutura de TIC provisória</t>
  </si>
  <si>
    <t>Custo de provisão de rede, links de internet, telefonia e sistemas de segurança no espaço provisório.</t>
  </si>
  <si>
    <t>Verificar se o contrato inclui TIC como utilidade ou se é custeada separadamente pelo Estado.</t>
  </si>
  <si>
    <t>Edi.6 Serviços de FM não incluídos no escopo da PPP</t>
  </si>
  <si>
    <t>Custos de facility management que o Estado continua suportando por não estarem incluídos no escopo de serviços da PPP.</t>
  </si>
  <si>
    <t>Delimitar com precisão o escopo de serviços na fase de modelagem para evitar lacunas.</t>
  </si>
  <si>
    <t>Edi.7 Custos de ocupação de imóveis do Estado cedidos à PPP</t>
  </si>
  <si>
    <t>Custo de oportunidade do uso de imóveis públicos cedidos ao parceiro privado como parte da estruturação econômica da PPP.</t>
  </si>
  <si>
    <t>Registrar como receita não realizada pelo Estado (valor locatício de mercado).</t>
  </si>
  <si>
    <t>Edi.8 Gestão do acervo patrimonial revertido</t>
  </si>
  <si>
    <t>Custo de inventário, avaliação, conservação e registro de bens que serão revertidos ao Estado ao fim do contrato.</t>
  </si>
  <si>
    <t>Planejar com antecedência; exigir relatório de estado de conservação dos bens com periodicidade definida.</t>
  </si>
  <si>
    <t>Instrumento para análise de PPPs e concessões</t>
  </si>
  <si>
    <t>Pagamento que o Estado realizará independentemente de eventos futuros, com valor possível de ser estimado.</t>
  </si>
  <si>
    <t>Obrigação não contratual. Registrar como risco qualitativo.</t>
  </si>
  <si>
    <t>Correção necessária para comparabilidade entre as opções no PSC/VfM.</t>
  </si>
  <si>
    <t>Legenda e orientações de uso.</t>
  </si>
  <si>
    <t>Checklist de custos comuns a qualquer PPP (Blocos A–F, 48 itens). Usar para todos os projetos.</t>
  </si>
  <si>
    <t>Submatriz setorial: custos típicos de PPPs em escolas, obras e serviços relacionados.</t>
  </si>
  <si>
    <t>Submatriz setorial: custos típicos de PPPs hospitalares, obras e serviços relacionados.</t>
  </si>
  <si>
    <t>Submatriz setorial: custos típicos de concessões rodoviárias e PPPs de infraestrutura viária, obras e serviços relacionados.</t>
  </si>
  <si>
    <t>Submatriz setorial: custos típicos de PPPs de unidades prisionais, obras e serviços relacionados.</t>
  </si>
  <si>
    <t>Como usar este checklist</t>
  </si>
  <si>
    <t>Para cada item, marque a coluna 'Aplicável?' com Sim ou Não.</t>
  </si>
  <si>
    <t>Preencha a coluna "Valor Estimado (R$)" com a estimativa do custo ou valor esperado (para contingentes).</t>
  </si>
  <si>
    <t>Use a coluna "Status" para registrar se o item já está capturado no modelo de VfM.</t>
  </si>
  <si>
    <t>Se o projeto é de setor específico, repita os Passos 2–4 na submatriz setorial.</t>
  </si>
  <si>
    <t>Legenda das Colunas da Matriz</t>
  </si>
  <si>
    <t>Atribuição típica</t>
  </si>
  <si>
    <t>CHECKLIST PARA IDENTIFICAÇÃO DE CUSTOS EM PPPs — 2.1  Educação — Escolas e Equipamentos Educacionais, obras e serviços relacionados.</t>
  </si>
  <si>
    <t>CHECKLIST PARA IDENTIFICAÇÃO DE CUSTOS EM PPPs — 2.2  Saúde — Hospitais, UPAs, Centros de Especialidades e Serviços Assistenciais, obras e serviços relacionados.</t>
  </si>
  <si>
    <t>Custos adicionais típicos de PPPs hospitalares e de serviços de saúde.</t>
  </si>
  <si>
    <t>Atribuição Típica</t>
  </si>
  <si>
    <t>CHECKLIST PARA IDENTIFICAÇÃO DE CUSTOS EM PPPs — 2.3  Transportes / Rodovias / Ferrovias — Concessões e PPPs de Infraestrutura de transporte, obras e serviços relacionados.</t>
  </si>
  <si>
    <t>Custos adicionais típicos de concessões rodoviárias, ferroviarias e outros modais.</t>
  </si>
  <si>
    <t>CHECKLIST PARA IDENTIFICAÇÃO DE CUSTOS EM PPPs — 2.4  Segurança Pública / Sistema Prisional — Unidades Prisionais e Equipamentos de Segurança, obras e serviços relacionados.</t>
  </si>
  <si>
    <t>CHECKLIST PARA IDENTIFICAÇÃO DE CUSTOS EM PPPs — 2.5  Edificações e Serviços Não Finalísticos — Sedes Administrativas, Complexos de TI e Facilities, obras e serviços relacionados.</t>
  </si>
  <si>
    <t>Gestão integrada de infraestrutura física e serviços de suporte de edificações. Em PPPs, o parceiro privado opera e mantém serviços não finalísticos que sustentam a atividade-fim do ente público.</t>
  </si>
  <si>
    <t>Facilities Management (FM)</t>
  </si>
  <si>
    <t>Anotações</t>
  </si>
  <si>
    <t>BASE REFERENCIAL</t>
  </si>
  <si>
    <t>Lei Federal nº 11.079/2004 — Lei Geral de PPPs. Lei Federal nº 8.987/1995 — Lei Geral de Concessões. Lei Federal nº 14.133/2021 — Lei de Licitações e Contratos. Manual de PPPs e Concessões — Goiás Parcerias (2022).
PPP Reference Guide v.3 — World Bank (2017). Thamer &amp; Ogasavara (2023) — RECADM v.22 n.1 p.40-65 &lt;https://doi.org/10.21529/RECADM.2023002 (Acesso em 06/04/2026)&gt;.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</si>
</sst>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sz val="9"/>
      <color rgb="FF555555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3"/>
      <color rgb="FFFFFFFF"/>
      <name val="Arial"/>
      <charset val="1"/>
    </font>
    <font>
      <sz val="10"/>
      <color rgb="FFFFFFFF"/>
      <name val="Arial"/>
      <charset val="1"/>
    </font>
    <font>
      <b/>
      <sz val="10"/>
      <color rgb="FF1F4E79"/>
      <name val="Arial"/>
      <charset val="1"/>
    </font>
    <font>
      <b/>
      <sz val="9"/>
      <color rgb="FF1F4E79"/>
      <name val="Arial"/>
      <charset val="1"/>
    </font>
    <font>
      <sz val="9"/>
      <color rgb="FF000000"/>
      <name val="Arial"/>
      <charset val="1"/>
    </font>
    <font>
      <sz val="9"/>
      <name val="Arial"/>
      <charset val="1"/>
    </font>
    <font>
      <b/>
      <sz val="12"/>
      <color rgb="FFFFFFFF"/>
      <name val="Arial"/>
      <charset val="1"/>
    </font>
    <font>
      <b/>
      <sz val="14"/>
      <color rgb="FFFFFFFF"/>
      <name val="Arial"/>
    </font>
    <font>
      <b/>
      <sz val="12"/>
      <color rgb="FFD6E4F0"/>
      <name val="Arial"/>
    </font>
  </fonts>
  <fills count="2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5F5F5"/>
        <bgColor rgb="FFF0F4F8"/>
      </patternFill>
    </fill>
    <fill>
      <patternFill patternType="solid">
        <fgColor rgb="FFF0F4F8"/>
        <bgColor rgb="FFF3F4FF"/>
      </patternFill>
    </fill>
    <fill>
      <patternFill patternType="solid">
        <fgColor rgb="FFFFFFFF"/>
        <bgColor rgb="FFFAFFF5"/>
      </patternFill>
    </fill>
    <fill>
      <patternFill patternType="solid">
        <fgColor rgb="FFD6E4F0"/>
        <bgColor rgb="FFE2EFDA"/>
      </patternFill>
    </fill>
    <fill>
      <patternFill patternType="solid">
        <fgColor rgb="FFEBF3FB"/>
        <bgColor rgb="FFF0F4F8"/>
      </patternFill>
    </fill>
    <fill>
      <patternFill patternType="solid">
        <fgColor rgb="FFFAFFF5"/>
        <bgColor rgb="FFFFFFFF"/>
      </patternFill>
    </fill>
    <fill>
      <patternFill patternType="solid">
        <fgColor rgb="FFFFFDE7"/>
        <bgColor rgb="FFFAFFF5"/>
      </patternFill>
    </fill>
    <fill>
      <patternFill patternType="solid">
        <fgColor rgb="FFF3F4FF"/>
        <bgColor rgb="FFF0F4F8"/>
      </patternFill>
    </fill>
    <fill>
      <patternFill patternType="solid">
        <fgColor rgb="FFFFF2CC"/>
        <bgColor rgb="FFFFFDE7"/>
      </patternFill>
    </fill>
    <fill>
      <patternFill patternType="solid">
        <fgColor rgb="FFE2EFDA"/>
        <bgColor rgb="FFE8F5E9"/>
      </patternFill>
    </fill>
    <fill>
      <patternFill patternType="solid">
        <fgColor rgb="FFF4E6FF"/>
        <bgColor rgb="FFF3E5F5"/>
      </patternFill>
    </fill>
    <fill>
      <patternFill patternType="solid">
        <fgColor rgb="FFFFE6E6"/>
        <bgColor rgb="FFFCE4EC"/>
      </patternFill>
    </fill>
    <fill>
      <patternFill patternType="solid">
        <fgColor rgb="FFE6F7FF"/>
        <bgColor rgb="FFE3F2FD"/>
      </patternFill>
    </fill>
    <fill>
      <patternFill patternType="solid">
        <fgColor rgb="FFE8F5E9"/>
        <bgColor rgb="FFEBF3FB"/>
      </patternFill>
    </fill>
    <fill>
      <patternFill patternType="solid">
        <fgColor rgb="FFE3F2FD"/>
        <bgColor rgb="FFE6F7FF"/>
      </patternFill>
    </fill>
    <fill>
      <patternFill patternType="solid">
        <fgColor rgb="FFFCE4EC"/>
        <bgColor rgb="FFFFE6E6"/>
      </patternFill>
    </fill>
    <fill>
      <patternFill patternType="solid">
        <fgColor rgb="FFF3E5F5"/>
        <bgColor rgb="FFF4E6FF"/>
      </patternFill>
    </fill>
    <fill>
      <patternFill patternType="solid">
        <fgColor rgb="FF1F3864"/>
      </patternFill>
    </fill>
  </fills>
  <borders count="10">
    <border>
      <left/>
      <right/>
      <top/>
      <bottom/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medium">
        <color rgb="FF2E75B6"/>
      </top>
      <bottom style="medium">
        <color rgb="FF2E75B6"/>
      </bottom>
      <diagonal/>
    </border>
    <border>
      <left/>
      <right/>
      <top/>
      <bottom style="thin">
        <color rgb="FFBDBDBD"/>
      </bottom>
      <diagonal/>
    </border>
    <border>
      <left style="thin">
        <color rgb="FFBDBDBD"/>
      </left>
      <right/>
      <top style="thin">
        <color rgb="FFBDBDBD"/>
      </top>
      <bottom/>
      <diagonal/>
    </border>
    <border>
      <left/>
      <right/>
      <top style="thin">
        <color rgb="FFBDBDBD"/>
      </top>
      <bottom/>
      <diagonal/>
    </border>
    <border>
      <left style="thin">
        <color rgb="FFBDBDBD"/>
      </left>
      <right/>
      <top/>
      <bottom style="thin">
        <color rgb="FFBDBDBD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7" fillId="7" borderId="0" xfId="0" applyFont="1" applyFill="1" applyAlignment="1">
      <alignment horizontal="center" vertical="center" wrapText="1"/>
    </xf>
    <xf numFmtId="4" fontId="7" fillId="7" borderId="0" xfId="0" applyNumberFormat="1" applyFont="1" applyFill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0" fillId="6" borderId="0" xfId="0" applyFill="1"/>
    <xf numFmtId="0" fontId="7" fillId="7" borderId="3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top" wrapText="1"/>
    </xf>
    <xf numFmtId="0" fontId="9" fillId="6" borderId="2" xfId="0" applyFont="1" applyFill="1" applyBorder="1" applyAlignment="1">
      <alignment horizontal="left" vertical="top" wrapText="1"/>
    </xf>
    <xf numFmtId="0" fontId="10" fillId="9" borderId="2" xfId="0" applyFont="1" applyFill="1" applyBorder="1" applyAlignment="1">
      <alignment horizontal="center" vertical="top" wrapText="1"/>
    </xf>
    <xf numFmtId="4" fontId="10" fillId="10" borderId="2" xfId="0" applyNumberFormat="1" applyFont="1" applyFill="1" applyBorder="1" applyAlignment="1">
      <alignment horizontal="right" vertical="top" wrapText="1"/>
    </xf>
    <xf numFmtId="0" fontId="10" fillId="11" borderId="2" xfId="0" applyFont="1" applyFill="1" applyBorder="1" applyAlignment="1">
      <alignment horizontal="center" vertical="top" wrapText="1"/>
    </xf>
    <xf numFmtId="0" fontId="10" fillId="6" borderId="2" xfId="0" applyFont="1" applyFill="1" applyBorder="1" applyAlignment="1">
      <alignment horizontal="right" vertical="top" wrapText="1"/>
    </xf>
    <xf numFmtId="0" fontId="8" fillId="12" borderId="2" xfId="0" applyFont="1" applyFill="1" applyBorder="1" applyAlignment="1">
      <alignment horizontal="left" vertical="top" wrapText="1"/>
    </xf>
    <xf numFmtId="0" fontId="8" fillId="13" borderId="2" xfId="0" applyFont="1" applyFill="1" applyBorder="1" applyAlignment="1">
      <alignment horizontal="left" vertical="top" wrapText="1"/>
    </xf>
    <xf numFmtId="0" fontId="8" fillId="14" borderId="2" xfId="0" applyFont="1" applyFill="1" applyBorder="1" applyAlignment="1">
      <alignment horizontal="left" vertical="top" wrapText="1"/>
    </xf>
    <xf numFmtId="0" fontId="8" fillId="15" borderId="2" xfId="0" applyFont="1" applyFill="1" applyBorder="1" applyAlignment="1">
      <alignment horizontal="left" vertical="top" wrapText="1"/>
    </xf>
    <xf numFmtId="0" fontId="8" fillId="16" borderId="2" xfId="0" applyFont="1" applyFill="1" applyBorder="1" applyAlignment="1">
      <alignment horizontal="left" vertical="top" wrapText="1"/>
    </xf>
    <xf numFmtId="0" fontId="0" fillId="7" borderId="0" xfId="0" applyFill="1"/>
    <xf numFmtId="0" fontId="7" fillId="7" borderId="0" xfId="0" applyFont="1" applyFill="1" applyAlignment="1">
      <alignment horizontal="right" vertical="center" wrapText="1"/>
    </xf>
    <xf numFmtId="4" fontId="7" fillId="7" borderId="0" xfId="0" applyNumberFormat="1" applyFont="1" applyFill="1" applyAlignment="1">
      <alignment horizontal="right" vertical="center" wrapText="1"/>
    </xf>
    <xf numFmtId="0" fontId="8" fillId="10" borderId="2" xfId="0" applyFont="1" applyFill="1" applyBorder="1" applyAlignment="1">
      <alignment horizontal="left" vertical="top" wrapText="1"/>
    </xf>
    <xf numFmtId="0" fontId="9" fillId="10" borderId="2" xfId="0" applyFont="1" applyFill="1" applyBorder="1" applyAlignment="1">
      <alignment horizontal="left" vertical="top" wrapText="1"/>
    </xf>
    <xf numFmtId="0" fontId="8" fillId="6" borderId="2" xfId="0" applyFont="1" applyFill="1" applyBorder="1" applyAlignment="1">
      <alignment horizontal="left" vertical="top" wrapText="1"/>
    </xf>
    <xf numFmtId="0" fontId="8" fillId="17" borderId="2" xfId="0" applyFont="1" applyFill="1" applyBorder="1" applyAlignment="1">
      <alignment horizontal="left" vertical="top" wrapText="1"/>
    </xf>
    <xf numFmtId="0" fontId="9" fillId="17" borderId="2" xfId="0" applyFont="1" applyFill="1" applyBorder="1" applyAlignment="1">
      <alignment horizontal="left" vertical="top" wrapText="1"/>
    </xf>
    <xf numFmtId="0" fontId="8" fillId="18" borderId="2" xfId="0" applyFont="1" applyFill="1" applyBorder="1" applyAlignment="1">
      <alignment horizontal="left" vertical="top" wrapText="1"/>
    </xf>
    <xf numFmtId="0" fontId="9" fillId="18" borderId="2" xfId="0" applyFont="1" applyFill="1" applyBorder="1" applyAlignment="1">
      <alignment horizontal="left" vertical="top" wrapText="1"/>
    </xf>
    <xf numFmtId="0" fontId="8" fillId="19" borderId="2" xfId="0" applyFont="1" applyFill="1" applyBorder="1" applyAlignment="1">
      <alignment horizontal="left" vertical="top" wrapText="1"/>
    </xf>
    <xf numFmtId="0" fontId="9" fillId="19" borderId="2" xfId="0" applyFont="1" applyFill="1" applyBorder="1" applyAlignment="1">
      <alignment horizontal="left" vertical="top" wrapText="1"/>
    </xf>
    <xf numFmtId="0" fontId="8" fillId="20" borderId="2" xfId="0" applyFont="1" applyFill="1" applyBorder="1" applyAlignment="1">
      <alignment horizontal="left" vertical="top" wrapText="1"/>
    </xf>
    <xf numFmtId="0" fontId="9" fillId="20" borderId="2" xfId="0" applyFont="1" applyFill="1" applyBorder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9" xfId="0" applyFont="1" applyFill="1" applyBorder="1" applyAlignment="1">
      <alignment horizontal="left" vertical="center" wrapText="1"/>
    </xf>
    <xf numFmtId="0" fontId="12" fillId="21" borderId="8" xfId="0" applyFont="1" applyFill="1" applyBorder="1" applyAlignment="1">
      <alignment horizontal="center" vertical="center" wrapText="1"/>
    </xf>
    <xf numFmtId="0" fontId="13" fillId="21" borderId="8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8F5E9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08080"/>
      <rgbColor rgb="FFEBF3FB"/>
      <rgbColor rgb="FF993366"/>
      <rgbColor rgb="FFFFFDE7"/>
      <rgbColor rgb="FFE6F7FF"/>
      <rgbColor rgb="FF660066"/>
      <rgbColor rgb="FFF3F4FF"/>
      <rgbColor rgb="FF0066CC"/>
      <rgbColor rgb="FFD6E4F0"/>
      <rgbColor rgb="FF000080"/>
      <rgbColor rgb="FFFF00FF"/>
      <rgbColor rgb="FFFAFFF5"/>
      <rgbColor rgb="FF00FFFF"/>
      <rgbColor rgb="FF800080"/>
      <rgbColor rgb="FF800000"/>
      <rgbColor rgb="FF008080"/>
      <rgbColor rgb="FF0000FF"/>
      <rgbColor rgb="FF00CCFF"/>
      <rgbColor rgb="FFE3F2FD"/>
      <rgbColor rgb="FFE2EFDA"/>
      <rgbColor rgb="FFFFF2CC"/>
      <rgbColor rgb="FFF3E5F5"/>
      <rgbColor rgb="FFFCE4EC"/>
      <rgbColor rgb="FFF4E6FF"/>
      <rgbColor rgb="FFFFE6E6"/>
      <rgbColor rgb="FF2E75B6"/>
      <rgbColor rgb="FF33CCCC"/>
      <rgbColor rgb="FF99CC00"/>
      <rgbColor rgb="FFF5F5F5"/>
      <rgbColor rgb="FFFF9900"/>
      <rgbColor rgb="FFFF6600"/>
      <rgbColor rgb="FF555555"/>
      <rgbColor rgb="FFF0F4F8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1463040</xdr:colOff>
      <xdr:row>0</xdr:row>
      <xdr:rowOff>45720</xdr:rowOff>
    </xdr:from>
    <xdr:to>
      <xdr:col>2</xdr:col>
      <xdr:colOff>3108722</xdr:colOff>
      <xdr:row>3</xdr:row>
      <xdr:rowOff>111137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586FB2F-0EF2-478A-9807-91178322A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8780" y="45720"/>
          <a:ext cx="3851672" cy="6140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showGridLines="0" zoomScaleNormal="100" workbookViewId="0">
      <selection activeCell="I39" sqref="I39"/>
    </sheetView>
  </sheetViews>
  <sheetFormatPr defaultColWidth="8.6640625" defaultRowHeight="14.4" x14ac:dyDescent="0.3"/>
  <cols>
    <col min="1" max="1" width="3" customWidth="1"/>
    <col min="2" max="2" width="32" customWidth="1"/>
    <col min="3" max="3" width="72" customWidth="1"/>
  </cols>
  <sheetData>
    <row r="1" spans="1:3" x14ac:dyDescent="0.3">
      <c r="A1" s="39"/>
      <c r="B1" s="39"/>
      <c r="C1" s="39"/>
    </row>
    <row r="2" spans="1:3" x14ac:dyDescent="0.3">
      <c r="A2" s="39"/>
      <c r="B2" s="39"/>
      <c r="C2" s="39"/>
    </row>
    <row r="3" spans="1:3" x14ac:dyDescent="0.3">
      <c r="A3" s="39"/>
      <c r="B3" s="39"/>
      <c r="C3" s="39"/>
    </row>
    <row r="4" spans="1:3" x14ac:dyDescent="0.3">
      <c r="A4" s="40"/>
      <c r="B4" s="40"/>
      <c r="C4" s="40"/>
    </row>
    <row r="5" spans="1:3" ht="36" customHeight="1" x14ac:dyDescent="0.3">
      <c r="A5" s="48" t="s">
        <v>0</v>
      </c>
      <c r="B5" s="48"/>
      <c r="C5" s="48"/>
    </row>
    <row r="6" spans="1:3" ht="24" customHeight="1" x14ac:dyDescent="0.3">
      <c r="A6" s="49" t="s">
        <v>332</v>
      </c>
      <c r="B6" s="49"/>
      <c r="C6" s="49"/>
    </row>
    <row r="7" spans="1:3" ht="22.2" customHeight="1" x14ac:dyDescent="0.3">
      <c r="A7" s="41" t="s">
        <v>1</v>
      </c>
      <c r="B7" s="42"/>
      <c r="C7" s="42"/>
    </row>
    <row r="8" spans="1:3" ht="17.399999999999999" customHeight="1" x14ac:dyDescent="0.3">
      <c r="A8" s="43"/>
      <c r="B8" s="44"/>
      <c r="C8" s="44"/>
    </row>
    <row r="9" spans="1:3" ht="12" customHeight="1" x14ac:dyDescent="0.3"/>
    <row r="10" spans="1:3" ht="24" customHeight="1" x14ac:dyDescent="0.3">
      <c r="A10" s="45" t="s">
        <v>347</v>
      </c>
      <c r="B10" s="45"/>
      <c r="C10" s="45"/>
    </row>
    <row r="11" spans="1:3" ht="30" customHeight="1" x14ac:dyDescent="0.3">
      <c r="A11" s="1"/>
      <c r="B11" s="2" t="s">
        <v>2</v>
      </c>
      <c r="C11" s="1" t="s">
        <v>333</v>
      </c>
    </row>
    <row r="12" spans="1:3" ht="30" customHeight="1" x14ac:dyDescent="0.3">
      <c r="A12" s="3"/>
      <c r="B12" s="4" t="s">
        <v>3</v>
      </c>
      <c r="C12" s="3" t="s">
        <v>4</v>
      </c>
    </row>
    <row r="13" spans="1:3" ht="30" customHeight="1" x14ac:dyDescent="0.3">
      <c r="A13" s="1"/>
      <c r="B13" s="2" t="s">
        <v>5</v>
      </c>
      <c r="C13" s="1" t="s">
        <v>334</v>
      </c>
    </row>
    <row r="14" spans="1:3" ht="30" customHeight="1" x14ac:dyDescent="0.3">
      <c r="A14" s="3"/>
      <c r="B14" s="4" t="s">
        <v>6</v>
      </c>
      <c r="C14" s="3" t="s">
        <v>335</v>
      </c>
    </row>
    <row r="15" spans="1:3" ht="30" customHeight="1" x14ac:dyDescent="0.3">
      <c r="A15" s="1"/>
      <c r="B15" s="2" t="s">
        <v>7</v>
      </c>
      <c r="C15" s="1" t="s">
        <v>8</v>
      </c>
    </row>
    <row r="16" spans="1:3" ht="30" customHeight="1" x14ac:dyDescent="0.3">
      <c r="A16" s="3"/>
      <c r="B16" s="4" t="s">
        <v>9</v>
      </c>
      <c r="C16" s="3" t="s">
        <v>10</v>
      </c>
    </row>
    <row r="17" spans="1:3" ht="30" customHeight="1" x14ac:dyDescent="0.3">
      <c r="A17" s="1"/>
      <c r="B17" s="2" t="s">
        <v>11</v>
      </c>
      <c r="C17" s="1" t="s">
        <v>12</v>
      </c>
    </row>
    <row r="18" spans="1:3" ht="39.6" x14ac:dyDescent="0.3">
      <c r="A18" s="3"/>
      <c r="B18" s="4" t="s">
        <v>358</v>
      </c>
      <c r="C18" s="3" t="s">
        <v>357</v>
      </c>
    </row>
    <row r="19" spans="1:3" ht="12" customHeight="1" x14ac:dyDescent="0.3"/>
    <row r="20" spans="1:3" ht="24" customHeight="1" x14ac:dyDescent="0.3">
      <c r="A20" s="45" t="s">
        <v>13</v>
      </c>
      <c r="B20" s="45"/>
      <c r="C20" s="45"/>
    </row>
    <row r="21" spans="1:3" ht="24" customHeight="1" x14ac:dyDescent="0.3">
      <c r="A21" s="5"/>
      <c r="B21" s="6" t="s">
        <v>14</v>
      </c>
      <c r="C21" s="5" t="s">
        <v>336</v>
      </c>
    </row>
    <row r="22" spans="1:3" ht="24" customHeight="1" x14ac:dyDescent="0.3">
      <c r="A22" s="3"/>
      <c r="B22" s="4" t="s">
        <v>15</v>
      </c>
      <c r="C22" s="3" t="s">
        <v>337</v>
      </c>
    </row>
    <row r="23" spans="1:3" ht="24" customHeight="1" x14ac:dyDescent="0.3">
      <c r="A23" s="5"/>
      <c r="B23" s="6" t="s">
        <v>16</v>
      </c>
      <c r="C23" s="5" t="s">
        <v>338</v>
      </c>
    </row>
    <row r="24" spans="1:3" ht="24" customHeight="1" x14ac:dyDescent="0.3">
      <c r="A24" s="3"/>
      <c r="B24" s="4" t="s">
        <v>17</v>
      </c>
      <c r="C24" s="3" t="s">
        <v>339</v>
      </c>
    </row>
    <row r="25" spans="1:3" ht="24" customHeight="1" x14ac:dyDescent="0.3">
      <c r="A25" s="5"/>
      <c r="B25" s="6" t="s">
        <v>18</v>
      </c>
      <c r="C25" s="5" t="s">
        <v>340</v>
      </c>
    </row>
    <row r="26" spans="1:3" ht="24" customHeight="1" x14ac:dyDescent="0.3">
      <c r="A26" s="3"/>
      <c r="B26" s="4" t="s">
        <v>19</v>
      </c>
      <c r="C26" s="3" t="s">
        <v>341</v>
      </c>
    </row>
    <row r="27" spans="1:3" ht="24" customHeight="1" x14ac:dyDescent="0.3">
      <c r="A27" s="5"/>
      <c r="B27" s="6" t="s">
        <v>20</v>
      </c>
      <c r="C27" s="5" t="s">
        <v>21</v>
      </c>
    </row>
    <row r="28" spans="1:3" ht="12" customHeight="1" x14ac:dyDescent="0.3"/>
    <row r="29" spans="1:3" ht="24" customHeight="1" x14ac:dyDescent="0.3">
      <c r="A29" s="45" t="s">
        <v>342</v>
      </c>
      <c r="B29" s="45"/>
      <c r="C29" s="45"/>
    </row>
    <row r="30" spans="1:3" ht="27.75" customHeight="1" x14ac:dyDescent="0.3">
      <c r="A30" s="5"/>
      <c r="B30" s="6" t="s">
        <v>22</v>
      </c>
      <c r="C30" s="5" t="s">
        <v>23</v>
      </c>
    </row>
    <row r="31" spans="1:3" ht="27.75" customHeight="1" x14ac:dyDescent="0.3">
      <c r="A31" s="3"/>
      <c r="B31" s="4" t="s">
        <v>24</v>
      </c>
      <c r="C31" s="3" t="s">
        <v>343</v>
      </c>
    </row>
    <row r="32" spans="1:3" ht="27.75" customHeight="1" x14ac:dyDescent="0.3">
      <c r="A32" s="5"/>
      <c r="B32" s="6" t="s">
        <v>25</v>
      </c>
      <c r="C32" s="5" t="s">
        <v>344</v>
      </c>
    </row>
    <row r="33" spans="1:3" ht="27.75" customHeight="1" x14ac:dyDescent="0.3">
      <c r="A33" s="3"/>
      <c r="B33" s="4" t="s">
        <v>26</v>
      </c>
      <c r="C33" s="3" t="s">
        <v>345</v>
      </c>
    </row>
    <row r="34" spans="1:3" ht="27.75" customHeight="1" x14ac:dyDescent="0.3">
      <c r="A34" s="5"/>
      <c r="B34" s="6" t="s">
        <v>27</v>
      </c>
      <c r="C34" s="5" t="s">
        <v>346</v>
      </c>
    </row>
    <row r="35" spans="1:3" ht="27.75" customHeight="1" x14ac:dyDescent="0.3">
      <c r="A35" s="3"/>
      <c r="B35" s="4" t="s">
        <v>28</v>
      </c>
      <c r="C35" s="3" t="s">
        <v>29</v>
      </c>
    </row>
    <row r="38" spans="1:3" ht="14.4" customHeight="1" x14ac:dyDescent="0.3">
      <c r="A38" s="45" t="s">
        <v>360</v>
      </c>
      <c r="B38" s="45"/>
      <c r="C38" s="45"/>
    </row>
    <row r="39" spans="1:3" ht="81" customHeight="1" x14ac:dyDescent="0.3">
      <c r="A39" s="5"/>
      <c r="B39" s="46" t="s">
        <v>361</v>
      </c>
      <c r="C39" s="47"/>
    </row>
  </sheetData>
  <mergeCells count="9">
    <mergeCell ref="A1:C4"/>
    <mergeCell ref="A7:C8"/>
    <mergeCell ref="A38:C38"/>
    <mergeCell ref="B39:C39"/>
    <mergeCell ref="A20:C20"/>
    <mergeCell ref="A29:C29"/>
    <mergeCell ref="A5:C5"/>
    <mergeCell ref="A6:C6"/>
    <mergeCell ref="A10:C1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3"/>
  <sheetViews>
    <sheetView showGridLines="0" tabSelected="1" zoomScaleNormal="100" workbookViewId="0">
      <pane ySplit="5" topLeftCell="A6" activePane="bottomLeft" state="frozen"/>
      <selection pane="bottomLeft" activeCell="L5" sqref="L5"/>
    </sheetView>
  </sheetViews>
  <sheetFormatPr defaultColWidth="8.6640625" defaultRowHeight="14.4" x14ac:dyDescent="0.3"/>
  <cols>
    <col min="1" max="1" width="24" customWidth="1"/>
    <col min="2" max="2" width="36" customWidth="1"/>
    <col min="3" max="3" width="52" customWidth="1"/>
    <col min="4" max="4" width="21.44140625" customWidth="1"/>
    <col min="5" max="5" width="18" customWidth="1"/>
    <col min="6" max="6" width="22.109375" customWidth="1"/>
    <col min="7" max="7" width="16.33203125" customWidth="1"/>
    <col min="8" max="8" width="20" customWidth="1"/>
    <col min="9" max="9" width="12" customWidth="1"/>
    <col min="10" max="10" width="44" customWidth="1"/>
    <col min="11" max="11" width="13" customWidth="1"/>
    <col min="12" max="12" width="18" customWidth="1"/>
  </cols>
  <sheetData>
    <row r="1" spans="1:12" ht="31.5" customHeight="1" x14ac:dyDescent="0.3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 ht="21.75" customHeight="1" x14ac:dyDescent="0.3">
      <c r="A2" s="51" t="s">
        <v>30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</row>
    <row r="3" spans="1:12" ht="21.75" customHeight="1" x14ac:dyDescent="0.3">
      <c r="A3" s="7" t="s">
        <v>31</v>
      </c>
      <c r="B3" s="8" t="s">
        <v>32</v>
      </c>
      <c r="C3" s="3"/>
      <c r="D3" s="8" t="s">
        <v>33</v>
      </c>
      <c r="E3" s="9">
        <f>COUNTIF(K6:K53,"Sim")</f>
        <v>0</v>
      </c>
      <c r="F3" s="8" t="s">
        <v>34</v>
      </c>
      <c r="G3" s="10">
        <f>SUMIF(K6:K53,"Sim",L6:L53)</f>
        <v>0</v>
      </c>
      <c r="H3" s="11"/>
      <c r="I3" s="11"/>
      <c r="J3" s="11"/>
      <c r="K3" s="11"/>
      <c r="L3" s="11"/>
    </row>
    <row r="4" spans="1:12" ht="6" customHeight="1" thickBot="1" x14ac:dyDescent="0.3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ht="31.5" customHeight="1" thickBot="1" x14ac:dyDescent="0.35">
      <c r="A5" s="13" t="s">
        <v>35</v>
      </c>
      <c r="B5" s="13" t="s">
        <v>36</v>
      </c>
      <c r="C5" s="13" t="s">
        <v>37</v>
      </c>
      <c r="D5" s="13" t="s">
        <v>38</v>
      </c>
      <c r="E5" s="13" t="s">
        <v>348</v>
      </c>
      <c r="F5" s="13" t="s">
        <v>39</v>
      </c>
      <c r="G5" s="13" t="s">
        <v>40</v>
      </c>
      <c r="H5" s="13" t="s">
        <v>41</v>
      </c>
      <c r="I5" s="13" t="s">
        <v>42</v>
      </c>
      <c r="J5" s="13" t="s">
        <v>43</v>
      </c>
      <c r="K5" s="13" t="s">
        <v>44</v>
      </c>
      <c r="L5" s="13" t="s">
        <v>359</v>
      </c>
    </row>
    <row r="6" spans="1:12" ht="45.75" customHeight="1" x14ac:dyDescent="0.3">
      <c r="A6" s="14" t="s">
        <v>45</v>
      </c>
      <c r="B6" s="15" t="s">
        <v>46</v>
      </c>
      <c r="C6" s="15" t="s">
        <v>47</v>
      </c>
      <c r="D6" s="15" t="s">
        <v>48</v>
      </c>
      <c r="E6" s="15" t="s">
        <v>49</v>
      </c>
      <c r="F6" s="15" t="s">
        <v>50</v>
      </c>
      <c r="G6" s="15" t="s">
        <v>51</v>
      </c>
      <c r="H6" s="15" t="s">
        <v>52</v>
      </c>
      <c r="I6" s="16"/>
      <c r="J6" s="17"/>
      <c r="K6" s="18"/>
      <c r="L6" s="19"/>
    </row>
    <row r="7" spans="1:12" ht="45.75" customHeight="1" x14ac:dyDescent="0.3">
      <c r="A7" s="14" t="s">
        <v>45</v>
      </c>
      <c r="B7" s="15" t="s">
        <v>53</v>
      </c>
      <c r="C7" s="15" t="s">
        <v>54</v>
      </c>
      <c r="D7" s="15" t="s">
        <v>48</v>
      </c>
      <c r="E7" s="15" t="s">
        <v>49</v>
      </c>
      <c r="F7" s="15" t="s">
        <v>50</v>
      </c>
      <c r="G7" s="15" t="s">
        <v>51</v>
      </c>
      <c r="H7" s="15" t="s">
        <v>55</v>
      </c>
      <c r="I7" s="16"/>
      <c r="J7" s="17"/>
      <c r="K7" s="18"/>
      <c r="L7" s="19"/>
    </row>
    <row r="8" spans="1:12" ht="45.75" customHeight="1" x14ac:dyDescent="0.3">
      <c r="A8" s="14" t="s">
        <v>45</v>
      </c>
      <c r="B8" s="15" t="s">
        <v>56</v>
      </c>
      <c r="C8" s="15" t="s">
        <v>57</v>
      </c>
      <c r="D8" s="15" t="s">
        <v>48</v>
      </c>
      <c r="E8" s="15" t="s">
        <v>49</v>
      </c>
      <c r="F8" s="15" t="s">
        <v>50</v>
      </c>
      <c r="G8" s="15" t="s">
        <v>51</v>
      </c>
      <c r="H8" s="15" t="s">
        <v>58</v>
      </c>
      <c r="I8" s="16"/>
      <c r="J8" s="17"/>
      <c r="K8" s="18"/>
      <c r="L8" s="19"/>
    </row>
    <row r="9" spans="1:12" ht="45.75" customHeight="1" x14ac:dyDescent="0.3">
      <c r="A9" s="14" t="s">
        <v>45</v>
      </c>
      <c r="B9" s="15" t="s">
        <v>59</v>
      </c>
      <c r="C9" s="15" t="s">
        <v>60</v>
      </c>
      <c r="D9" s="15" t="s">
        <v>61</v>
      </c>
      <c r="E9" s="15" t="s">
        <v>49</v>
      </c>
      <c r="F9" s="15" t="s">
        <v>50</v>
      </c>
      <c r="G9" s="15" t="s">
        <v>51</v>
      </c>
      <c r="H9" s="15" t="s">
        <v>62</v>
      </c>
      <c r="I9" s="16"/>
      <c r="J9" s="17"/>
      <c r="K9" s="18"/>
      <c r="L9" s="19"/>
    </row>
    <row r="10" spans="1:12" ht="45.75" customHeight="1" x14ac:dyDescent="0.3">
      <c r="A10" s="14" t="s">
        <v>45</v>
      </c>
      <c r="B10" s="15" t="s">
        <v>63</v>
      </c>
      <c r="C10" s="15" t="s">
        <v>64</v>
      </c>
      <c r="D10" s="15" t="s">
        <v>48</v>
      </c>
      <c r="E10" s="15" t="s">
        <v>49</v>
      </c>
      <c r="F10" s="15" t="s">
        <v>50</v>
      </c>
      <c r="G10" s="15" t="s">
        <v>51</v>
      </c>
      <c r="H10" s="15" t="s">
        <v>65</v>
      </c>
      <c r="I10" s="16"/>
      <c r="J10" s="17"/>
      <c r="K10" s="18"/>
      <c r="L10" s="19"/>
    </row>
    <row r="11" spans="1:12" ht="45.75" customHeight="1" x14ac:dyDescent="0.3">
      <c r="A11" s="14" t="s">
        <v>45</v>
      </c>
      <c r="B11" s="15" t="s">
        <v>66</v>
      </c>
      <c r="C11" s="15" t="s">
        <v>67</v>
      </c>
      <c r="D11" s="15" t="s">
        <v>48</v>
      </c>
      <c r="E11" s="15" t="s">
        <v>49</v>
      </c>
      <c r="F11" s="15" t="s">
        <v>50</v>
      </c>
      <c r="G11" s="15" t="s">
        <v>51</v>
      </c>
      <c r="H11" s="15" t="s">
        <v>68</v>
      </c>
      <c r="I11" s="16"/>
      <c r="J11" s="17"/>
      <c r="K11" s="18"/>
      <c r="L11" s="19"/>
    </row>
    <row r="12" spans="1:12" ht="45.75" customHeight="1" x14ac:dyDescent="0.3">
      <c r="A12" s="14" t="s">
        <v>45</v>
      </c>
      <c r="B12" s="15" t="s">
        <v>69</v>
      </c>
      <c r="C12" s="15" t="s">
        <v>70</v>
      </c>
      <c r="D12" s="15" t="s">
        <v>48</v>
      </c>
      <c r="E12" s="15" t="s">
        <v>49</v>
      </c>
      <c r="F12" s="15" t="s">
        <v>50</v>
      </c>
      <c r="G12" s="15" t="s">
        <v>51</v>
      </c>
      <c r="H12" s="15" t="s">
        <v>71</v>
      </c>
      <c r="I12" s="16"/>
      <c r="J12" s="17"/>
      <c r="K12" s="18"/>
      <c r="L12" s="19"/>
    </row>
    <row r="13" spans="1:12" ht="45.75" customHeight="1" x14ac:dyDescent="0.3">
      <c r="A13" s="14" t="s">
        <v>45</v>
      </c>
      <c r="B13" s="15" t="s">
        <v>72</v>
      </c>
      <c r="C13" s="15" t="s">
        <v>73</v>
      </c>
      <c r="D13" s="15" t="s">
        <v>48</v>
      </c>
      <c r="E13" s="15" t="s">
        <v>74</v>
      </c>
      <c r="F13" s="15" t="s">
        <v>50</v>
      </c>
      <c r="G13" s="15" t="s">
        <v>51</v>
      </c>
      <c r="H13" s="15" t="s">
        <v>75</v>
      </c>
      <c r="I13" s="16"/>
      <c r="J13" s="17"/>
      <c r="K13" s="18"/>
      <c r="L13" s="19"/>
    </row>
    <row r="14" spans="1:12" ht="45.75" customHeight="1" x14ac:dyDescent="0.3">
      <c r="A14" s="20" t="s">
        <v>76</v>
      </c>
      <c r="B14" s="15" t="s">
        <v>77</v>
      </c>
      <c r="C14" s="15" t="s">
        <v>78</v>
      </c>
      <c r="D14" s="15" t="s">
        <v>79</v>
      </c>
      <c r="E14" s="15" t="s">
        <v>74</v>
      </c>
      <c r="F14" s="15" t="s">
        <v>50</v>
      </c>
      <c r="G14" s="15" t="s">
        <v>50</v>
      </c>
      <c r="H14" s="15" t="s">
        <v>80</v>
      </c>
      <c r="I14" s="16"/>
      <c r="J14" s="17"/>
      <c r="K14" s="18"/>
      <c r="L14" s="19"/>
    </row>
    <row r="15" spans="1:12" ht="45.75" customHeight="1" x14ac:dyDescent="0.3">
      <c r="A15" s="20" t="s">
        <v>76</v>
      </c>
      <c r="B15" s="15" t="s">
        <v>81</v>
      </c>
      <c r="C15" s="15" t="s">
        <v>82</v>
      </c>
      <c r="D15" s="15" t="s">
        <v>79</v>
      </c>
      <c r="E15" s="15" t="s">
        <v>74</v>
      </c>
      <c r="F15" s="15" t="s">
        <v>50</v>
      </c>
      <c r="G15" s="15" t="s">
        <v>50</v>
      </c>
      <c r="H15" s="15" t="s">
        <v>83</v>
      </c>
      <c r="I15" s="16"/>
      <c r="J15" s="17"/>
      <c r="K15" s="18"/>
      <c r="L15" s="19"/>
    </row>
    <row r="16" spans="1:12" ht="45.75" customHeight="1" x14ac:dyDescent="0.3">
      <c r="A16" s="20" t="s">
        <v>76</v>
      </c>
      <c r="B16" s="15" t="s">
        <v>84</v>
      </c>
      <c r="C16" s="15" t="s">
        <v>85</v>
      </c>
      <c r="D16" s="15" t="s">
        <v>79</v>
      </c>
      <c r="E16" s="15" t="s">
        <v>74</v>
      </c>
      <c r="F16" s="15" t="s">
        <v>50</v>
      </c>
      <c r="G16" s="15" t="s">
        <v>50</v>
      </c>
      <c r="H16" s="15" t="s">
        <v>86</v>
      </c>
      <c r="I16" s="16"/>
      <c r="J16" s="17"/>
      <c r="K16" s="18"/>
      <c r="L16" s="19"/>
    </row>
    <row r="17" spans="1:12" ht="45.75" customHeight="1" x14ac:dyDescent="0.3">
      <c r="A17" s="20" t="s">
        <v>76</v>
      </c>
      <c r="B17" s="15" t="s">
        <v>87</v>
      </c>
      <c r="C17" s="15" t="s">
        <v>88</v>
      </c>
      <c r="D17" s="15" t="s">
        <v>79</v>
      </c>
      <c r="E17" s="15" t="s">
        <v>74</v>
      </c>
      <c r="F17" s="15" t="s">
        <v>50</v>
      </c>
      <c r="G17" s="15" t="s">
        <v>50</v>
      </c>
      <c r="H17" s="15" t="s">
        <v>89</v>
      </c>
      <c r="I17" s="16"/>
      <c r="J17" s="17"/>
      <c r="K17" s="18"/>
      <c r="L17" s="19"/>
    </row>
    <row r="18" spans="1:12" ht="45.75" customHeight="1" x14ac:dyDescent="0.3">
      <c r="A18" s="20" t="s">
        <v>76</v>
      </c>
      <c r="B18" s="15" t="s">
        <v>90</v>
      </c>
      <c r="C18" s="15" t="s">
        <v>91</v>
      </c>
      <c r="D18" s="15" t="s">
        <v>48</v>
      </c>
      <c r="E18" s="15" t="s">
        <v>74</v>
      </c>
      <c r="F18" s="15" t="s">
        <v>50</v>
      </c>
      <c r="G18" s="15" t="s">
        <v>51</v>
      </c>
      <c r="H18" s="15" t="s">
        <v>92</v>
      </c>
      <c r="I18" s="16"/>
      <c r="J18" s="17"/>
      <c r="K18" s="18"/>
      <c r="L18" s="19"/>
    </row>
    <row r="19" spans="1:12" ht="45.75" customHeight="1" x14ac:dyDescent="0.3">
      <c r="A19" s="20" t="s">
        <v>76</v>
      </c>
      <c r="B19" s="15" t="s">
        <v>93</v>
      </c>
      <c r="C19" s="15" t="s">
        <v>94</v>
      </c>
      <c r="D19" s="15" t="s">
        <v>48</v>
      </c>
      <c r="E19" s="15" t="s">
        <v>49</v>
      </c>
      <c r="F19" s="15" t="s">
        <v>50</v>
      </c>
      <c r="G19" s="15" t="s">
        <v>51</v>
      </c>
      <c r="H19" s="15" t="s">
        <v>95</v>
      </c>
      <c r="I19" s="16"/>
      <c r="J19" s="17"/>
      <c r="K19" s="18"/>
      <c r="L19" s="19"/>
    </row>
    <row r="20" spans="1:12" ht="45.75" customHeight="1" x14ac:dyDescent="0.3">
      <c r="A20" s="20" t="s">
        <v>76</v>
      </c>
      <c r="B20" s="15" t="s">
        <v>96</v>
      </c>
      <c r="C20" s="15" t="s">
        <v>97</v>
      </c>
      <c r="D20" s="15" t="s">
        <v>48</v>
      </c>
      <c r="E20" s="15" t="s">
        <v>49</v>
      </c>
      <c r="F20" s="15" t="s">
        <v>50</v>
      </c>
      <c r="G20" s="15" t="s">
        <v>51</v>
      </c>
      <c r="H20" s="15" t="s">
        <v>98</v>
      </c>
      <c r="I20" s="16"/>
      <c r="J20" s="17"/>
      <c r="K20" s="18"/>
      <c r="L20" s="19"/>
    </row>
    <row r="21" spans="1:12" ht="45.75" customHeight="1" x14ac:dyDescent="0.3">
      <c r="A21" s="20" t="s">
        <v>76</v>
      </c>
      <c r="B21" s="15" t="s">
        <v>99</v>
      </c>
      <c r="C21" s="15" t="s">
        <v>100</v>
      </c>
      <c r="D21" s="15" t="s">
        <v>48</v>
      </c>
      <c r="E21" s="15" t="s">
        <v>49</v>
      </c>
      <c r="F21" s="15" t="s">
        <v>50</v>
      </c>
      <c r="G21" s="15" t="s">
        <v>51</v>
      </c>
      <c r="H21" s="15" t="s">
        <v>101</v>
      </c>
      <c r="I21" s="16"/>
      <c r="J21" s="17"/>
      <c r="K21" s="18"/>
      <c r="L21" s="19"/>
    </row>
    <row r="22" spans="1:12" ht="45.75" customHeight="1" x14ac:dyDescent="0.3">
      <c r="A22" s="21" t="s">
        <v>102</v>
      </c>
      <c r="B22" s="15" t="s">
        <v>103</v>
      </c>
      <c r="C22" s="15" t="s">
        <v>104</v>
      </c>
      <c r="D22" s="15" t="s">
        <v>48</v>
      </c>
      <c r="E22" s="15" t="s">
        <v>49</v>
      </c>
      <c r="F22" s="15" t="s">
        <v>50</v>
      </c>
      <c r="G22" s="15" t="s">
        <v>51</v>
      </c>
      <c r="H22" s="15" t="s">
        <v>105</v>
      </c>
      <c r="I22" s="16"/>
      <c r="J22" s="17"/>
      <c r="K22" s="18"/>
      <c r="L22" s="19"/>
    </row>
    <row r="23" spans="1:12" ht="45.75" customHeight="1" x14ac:dyDescent="0.3">
      <c r="A23" s="21" t="s">
        <v>102</v>
      </c>
      <c r="B23" s="15" t="s">
        <v>106</v>
      </c>
      <c r="C23" s="15" t="s">
        <v>107</v>
      </c>
      <c r="D23" s="15" t="s">
        <v>48</v>
      </c>
      <c r="E23" s="15" t="s">
        <v>49</v>
      </c>
      <c r="F23" s="15" t="s">
        <v>50</v>
      </c>
      <c r="G23" s="15" t="s">
        <v>51</v>
      </c>
      <c r="H23" s="15" t="s">
        <v>108</v>
      </c>
      <c r="I23" s="16"/>
      <c r="J23" s="17"/>
      <c r="K23" s="18"/>
      <c r="L23" s="19"/>
    </row>
    <row r="24" spans="1:12" ht="45.75" customHeight="1" x14ac:dyDescent="0.3">
      <c r="A24" s="21" t="s">
        <v>102</v>
      </c>
      <c r="B24" s="15" t="s">
        <v>109</v>
      </c>
      <c r="C24" s="15" t="s">
        <v>110</v>
      </c>
      <c r="D24" s="15" t="s">
        <v>48</v>
      </c>
      <c r="E24" s="15" t="s">
        <v>49</v>
      </c>
      <c r="F24" s="15" t="s">
        <v>50</v>
      </c>
      <c r="G24" s="15" t="s">
        <v>51</v>
      </c>
      <c r="H24" s="15" t="s">
        <v>111</v>
      </c>
      <c r="I24" s="16"/>
      <c r="J24" s="17"/>
      <c r="K24" s="18"/>
      <c r="L24" s="19"/>
    </row>
    <row r="25" spans="1:12" ht="45.75" customHeight="1" x14ac:dyDescent="0.3">
      <c r="A25" s="21" t="s">
        <v>102</v>
      </c>
      <c r="B25" s="15" t="s">
        <v>112</v>
      </c>
      <c r="C25" s="15" t="s">
        <v>113</v>
      </c>
      <c r="D25" s="15" t="s">
        <v>48</v>
      </c>
      <c r="E25" s="15" t="s">
        <v>49</v>
      </c>
      <c r="F25" s="15" t="s">
        <v>50</v>
      </c>
      <c r="G25" s="15" t="s">
        <v>51</v>
      </c>
      <c r="H25" s="15" t="s">
        <v>114</v>
      </c>
      <c r="I25" s="16"/>
      <c r="J25" s="17"/>
      <c r="K25" s="18"/>
      <c r="L25" s="19"/>
    </row>
    <row r="26" spans="1:12" ht="45.75" customHeight="1" x14ac:dyDescent="0.3">
      <c r="A26" s="21" t="s">
        <v>102</v>
      </c>
      <c r="B26" s="15" t="s">
        <v>115</v>
      </c>
      <c r="C26" s="15" t="s">
        <v>116</v>
      </c>
      <c r="D26" s="15" t="s">
        <v>48</v>
      </c>
      <c r="E26" s="15" t="s">
        <v>49</v>
      </c>
      <c r="F26" s="15" t="s">
        <v>50</v>
      </c>
      <c r="G26" s="15" t="s">
        <v>51</v>
      </c>
      <c r="H26" s="15" t="s">
        <v>117</v>
      </c>
      <c r="I26" s="16"/>
      <c r="J26" s="17"/>
      <c r="K26" s="18"/>
      <c r="L26" s="19"/>
    </row>
    <row r="27" spans="1:12" ht="45.75" customHeight="1" x14ac:dyDescent="0.3">
      <c r="A27" s="21" t="s">
        <v>102</v>
      </c>
      <c r="B27" s="15" t="s">
        <v>118</v>
      </c>
      <c r="C27" s="15" t="s">
        <v>119</v>
      </c>
      <c r="D27" s="15" t="s">
        <v>48</v>
      </c>
      <c r="E27" s="15" t="s">
        <v>49</v>
      </c>
      <c r="F27" s="15" t="s">
        <v>50</v>
      </c>
      <c r="G27" s="15" t="s">
        <v>51</v>
      </c>
      <c r="H27" s="15" t="s">
        <v>120</v>
      </c>
      <c r="I27" s="16"/>
      <c r="J27" s="17"/>
      <c r="K27" s="18"/>
      <c r="L27" s="19"/>
    </row>
    <row r="28" spans="1:12" ht="45.75" customHeight="1" x14ac:dyDescent="0.3">
      <c r="A28" s="22" t="s">
        <v>121</v>
      </c>
      <c r="B28" s="15" t="s">
        <v>122</v>
      </c>
      <c r="C28" s="15" t="s">
        <v>123</v>
      </c>
      <c r="D28" s="15" t="s">
        <v>48</v>
      </c>
      <c r="E28" s="15" t="s">
        <v>49</v>
      </c>
      <c r="F28" s="15" t="s">
        <v>50</v>
      </c>
      <c r="G28" s="15" t="s">
        <v>51</v>
      </c>
      <c r="H28" s="15" t="s">
        <v>124</v>
      </c>
      <c r="I28" s="16"/>
      <c r="J28" s="17"/>
      <c r="K28" s="18"/>
      <c r="L28" s="19"/>
    </row>
    <row r="29" spans="1:12" ht="45.75" customHeight="1" x14ac:dyDescent="0.3">
      <c r="A29" s="22" t="s">
        <v>121</v>
      </c>
      <c r="B29" s="15" t="s">
        <v>125</v>
      </c>
      <c r="C29" s="15" t="s">
        <v>126</v>
      </c>
      <c r="D29" s="15" t="s">
        <v>48</v>
      </c>
      <c r="E29" s="15" t="s">
        <v>74</v>
      </c>
      <c r="F29" s="15" t="s">
        <v>50</v>
      </c>
      <c r="G29" s="15" t="s">
        <v>51</v>
      </c>
      <c r="H29" s="15" t="s">
        <v>127</v>
      </c>
      <c r="I29" s="16"/>
      <c r="J29" s="17"/>
      <c r="K29" s="18"/>
      <c r="L29" s="19"/>
    </row>
    <row r="30" spans="1:12" ht="45.75" customHeight="1" x14ac:dyDescent="0.3">
      <c r="A30" s="22" t="s">
        <v>121</v>
      </c>
      <c r="B30" s="15" t="s">
        <v>128</v>
      </c>
      <c r="C30" s="15" t="s">
        <v>129</v>
      </c>
      <c r="D30" s="15" t="s">
        <v>48</v>
      </c>
      <c r="E30" s="15" t="s">
        <v>74</v>
      </c>
      <c r="F30" s="15" t="s">
        <v>50</v>
      </c>
      <c r="G30" s="15" t="s">
        <v>51</v>
      </c>
      <c r="H30" s="15" t="s">
        <v>130</v>
      </c>
      <c r="I30" s="16"/>
      <c r="J30" s="17"/>
      <c r="K30" s="18"/>
      <c r="L30" s="19"/>
    </row>
    <row r="31" spans="1:12" ht="45.75" customHeight="1" x14ac:dyDescent="0.3">
      <c r="A31" s="22" t="s">
        <v>121</v>
      </c>
      <c r="B31" s="15" t="s">
        <v>131</v>
      </c>
      <c r="C31" s="15" t="s">
        <v>132</v>
      </c>
      <c r="D31" s="15" t="s">
        <v>48</v>
      </c>
      <c r="E31" s="15" t="s">
        <v>49</v>
      </c>
      <c r="F31" s="15" t="s">
        <v>50</v>
      </c>
      <c r="G31" s="15" t="s">
        <v>51</v>
      </c>
      <c r="H31" s="15" t="s">
        <v>133</v>
      </c>
      <c r="I31" s="16"/>
      <c r="J31" s="17"/>
      <c r="K31" s="18"/>
      <c r="L31" s="19"/>
    </row>
    <row r="32" spans="1:12" ht="45.75" customHeight="1" x14ac:dyDescent="0.3">
      <c r="A32" s="22" t="s">
        <v>121</v>
      </c>
      <c r="B32" s="15" t="s">
        <v>134</v>
      </c>
      <c r="C32" s="15" t="s">
        <v>135</v>
      </c>
      <c r="D32" s="15" t="s">
        <v>48</v>
      </c>
      <c r="E32" s="15" t="s">
        <v>49</v>
      </c>
      <c r="F32" s="15" t="s">
        <v>50</v>
      </c>
      <c r="G32" s="15" t="s">
        <v>51</v>
      </c>
      <c r="H32" s="15" t="s">
        <v>136</v>
      </c>
      <c r="I32" s="16"/>
      <c r="J32" s="17"/>
      <c r="K32" s="18"/>
      <c r="L32" s="19"/>
    </row>
    <row r="33" spans="1:12" ht="45.75" customHeight="1" x14ac:dyDescent="0.3">
      <c r="A33" s="22" t="s">
        <v>121</v>
      </c>
      <c r="B33" s="15" t="s">
        <v>137</v>
      </c>
      <c r="C33" s="15" t="s">
        <v>138</v>
      </c>
      <c r="D33" s="15" t="s">
        <v>48</v>
      </c>
      <c r="E33" s="15" t="s">
        <v>49</v>
      </c>
      <c r="F33" s="15" t="s">
        <v>50</v>
      </c>
      <c r="G33" s="15" t="s">
        <v>51</v>
      </c>
      <c r="H33" s="15" t="s">
        <v>139</v>
      </c>
      <c r="I33" s="16"/>
      <c r="J33" s="17"/>
      <c r="K33" s="18"/>
      <c r="L33" s="19"/>
    </row>
    <row r="34" spans="1:12" ht="45.75" customHeight="1" x14ac:dyDescent="0.3">
      <c r="A34" s="22" t="s">
        <v>121</v>
      </c>
      <c r="B34" s="15" t="s">
        <v>140</v>
      </c>
      <c r="C34" s="15" t="s">
        <v>141</v>
      </c>
      <c r="D34" s="15" t="s">
        <v>48</v>
      </c>
      <c r="E34" s="15" t="s">
        <v>49</v>
      </c>
      <c r="F34" s="15" t="s">
        <v>50</v>
      </c>
      <c r="G34" s="15" t="s">
        <v>51</v>
      </c>
      <c r="H34" s="15" t="s">
        <v>142</v>
      </c>
      <c r="I34" s="16"/>
      <c r="J34" s="17"/>
      <c r="K34" s="18"/>
      <c r="L34" s="19"/>
    </row>
    <row r="35" spans="1:12" ht="45.75" customHeight="1" x14ac:dyDescent="0.3">
      <c r="A35" s="23" t="s">
        <v>143</v>
      </c>
      <c r="B35" s="15" t="s">
        <v>144</v>
      </c>
      <c r="C35" s="15" t="s">
        <v>145</v>
      </c>
      <c r="D35" s="15" t="s">
        <v>61</v>
      </c>
      <c r="E35" s="15" t="s">
        <v>49</v>
      </c>
      <c r="F35" s="15" t="s">
        <v>146</v>
      </c>
      <c r="G35" s="15" t="s">
        <v>50</v>
      </c>
      <c r="H35" s="15" t="s">
        <v>147</v>
      </c>
      <c r="I35" s="16"/>
      <c r="J35" s="17"/>
      <c r="K35" s="18"/>
      <c r="L35" s="19"/>
    </row>
    <row r="36" spans="1:12" ht="45.75" customHeight="1" x14ac:dyDescent="0.3">
      <c r="A36" s="23" t="s">
        <v>143</v>
      </c>
      <c r="B36" s="15" t="s">
        <v>148</v>
      </c>
      <c r="C36" s="15" t="s">
        <v>149</v>
      </c>
      <c r="D36" s="15" t="s">
        <v>61</v>
      </c>
      <c r="E36" s="15" t="s">
        <v>49</v>
      </c>
      <c r="F36" s="15" t="s">
        <v>146</v>
      </c>
      <c r="G36" s="15" t="s">
        <v>50</v>
      </c>
      <c r="H36" s="15" t="s">
        <v>150</v>
      </c>
      <c r="I36" s="16"/>
      <c r="J36" s="17"/>
      <c r="K36" s="18"/>
      <c r="L36" s="19"/>
    </row>
    <row r="37" spans="1:12" ht="45.75" customHeight="1" x14ac:dyDescent="0.3">
      <c r="A37" s="23" t="s">
        <v>143</v>
      </c>
      <c r="B37" s="15" t="s">
        <v>151</v>
      </c>
      <c r="C37" s="15" t="s">
        <v>152</v>
      </c>
      <c r="D37" s="15" t="s">
        <v>61</v>
      </c>
      <c r="E37" s="15" t="s">
        <v>49</v>
      </c>
      <c r="F37" s="15" t="s">
        <v>146</v>
      </c>
      <c r="G37" s="15" t="s">
        <v>50</v>
      </c>
      <c r="H37" s="15" t="s">
        <v>153</v>
      </c>
      <c r="I37" s="16"/>
      <c r="J37" s="17"/>
      <c r="K37" s="18"/>
      <c r="L37" s="19"/>
    </row>
    <row r="38" spans="1:12" ht="45.75" customHeight="1" x14ac:dyDescent="0.3">
      <c r="A38" s="23" t="s">
        <v>143</v>
      </c>
      <c r="B38" s="15" t="s">
        <v>154</v>
      </c>
      <c r="C38" s="15" t="s">
        <v>155</v>
      </c>
      <c r="D38" s="15" t="s">
        <v>61</v>
      </c>
      <c r="E38" s="15" t="s">
        <v>49</v>
      </c>
      <c r="F38" s="15" t="s">
        <v>146</v>
      </c>
      <c r="G38" s="15" t="s">
        <v>50</v>
      </c>
      <c r="H38" s="15" t="s">
        <v>156</v>
      </c>
      <c r="I38" s="16"/>
      <c r="J38" s="17"/>
      <c r="K38" s="18"/>
      <c r="L38" s="19"/>
    </row>
    <row r="39" spans="1:12" ht="45.75" customHeight="1" x14ac:dyDescent="0.3">
      <c r="A39" s="23" t="s">
        <v>143</v>
      </c>
      <c r="B39" s="15" t="s">
        <v>157</v>
      </c>
      <c r="C39" s="15" t="s">
        <v>158</v>
      </c>
      <c r="D39" s="15" t="s">
        <v>61</v>
      </c>
      <c r="E39" s="15" t="s">
        <v>74</v>
      </c>
      <c r="F39" s="15" t="s">
        <v>146</v>
      </c>
      <c r="G39" s="15" t="s">
        <v>50</v>
      </c>
      <c r="H39" s="15" t="s">
        <v>159</v>
      </c>
      <c r="I39" s="16"/>
      <c r="J39" s="17"/>
      <c r="K39" s="18"/>
      <c r="L39" s="19"/>
    </row>
    <row r="40" spans="1:12" ht="45.75" customHeight="1" x14ac:dyDescent="0.3">
      <c r="A40" s="23" t="s">
        <v>143</v>
      </c>
      <c r="B40" s="15" t="s">
        <v>160</v>
      </c>
      <c r="C40" s="15" t="s">
        <v>161</v>
      </c>
      <c r="D40" s="15" t="s">
        <v>61</v>
      </c>
      <c r="E40" s="15" t="s">
        <v>49</v>
      </c>
      <c r="F40" s="15" t="s">
        <v>146</v>
      </c>
      <c r="G40" s="15" t="s">
        <v>50</v>
      </c>
      <c r="H40" s="15" t="s">
        <v>162</v>
      </c>
      <c r="I40" s="16"/>
      <c r="J40" s="17"/>
      <c r="K40" s="18"/>
      <c r="L40" s="19"/>
    </row>
    <row r="41" spans="1:12" ht="45.75" customHeight="1" x14ac:dyDescent="0.3">
      <c r="A41" s="23" t="s">
        <v>143</v>
      </c>
      <c r="B41" s="15" t="s">
        <v>163</v>
      </c>
      <c r="C41" s="15" t="s">
        <v>164</v>
      </c>
      <c r="D41" s="15" t="s">
        <v>61</v>
      </c>
      <c r="E41" s="15" t="s">
        <v>49</v>
      </c>
      <c r="F41" s="15" t="s">
        <v>146</v>
      </c>
      <c r="G41" s="15" t="s">
        <v>50</v>
      </c>
      <c r="H41" s="15" t="s">
        <v>165</v>
      </c>
      <c r="I41" s="16"/>
      <c r="J41" s="17"/>
      <c r="K41" s="18"/>
      <c r="L41" s="19"/>
    </row>
    <row r="42" spans="1:12" ht="45.75" customHeight="1" x14ac:dyDescent="0.3">
      <c r="A42" s="23" t="s">
        <v>143</v>
      </c>
      <c r="B42" s="15" t="s">
        <v>166</v>
      </c>
      <c r="C42" s="15" t="s">
        <v>167</v>
      </c>
      <c r="D42" s="15" t="s">
        <v>61</v>
      </c>
      <c r="E42" s="15" t="s">
        <v>74</v>
      </c>
      <c r="F42" s="15" t="s">
        <v>146</v>
      </c>
      <c r="G42" s="15" t="s">
        <v>50</v>
      </c>
      <c r="H42" s="15" t="s">
        <v>168</v>
      </c>
      <c r="I42" s="16"/>
      <c r="J42" s="17"/>
      <c r="K42" s="18"/>
      <c r="L42" s="19"/>
    </row>
    <row r="43" spans="1:12" ht="45.75" customHeight="1" x14ac:dyDescent="0.3">
      <c r="A43" s="23" t="s">
        <v>143</v>
      </c>
      <c r="B43" s="15" t="s">
        <v>169</v>
      </c>
      <c r="C43" s="15" t="s">
        <v>170</v>
      </c>
      <c r="D43" s="15" t="s">
        <v>61</v>
      </c>
      <c r="E43" s="15" t="s">
        <v>49</v>
      </c>
      <c r="F43" s="15" t="s">
        <v>146</v>
      </c>
      <c r="G43" s="15" t="s">
        <v>50</v>
      </c>
      <c r="H43" s="15" t="s">
        <v>171</v>
      </c>
      <c r="I43" s="16"/>
      <c r="J43" s="17"/>
      <c r="K43" s="18"/>
      <c r="L43" s="19"/>
    </row>
    <row r="44" spans="1:12" ht="45.75" customHeight="1" x14ac:dyDescent="0.3">
      <c r="A44" s="23" t="s">
        <v>143</v>
      </c>
      <c r="B44" s="15" t="s">
        <v>172</v>
      </c>
      <c r="C44" s="15" t="s">
        <v>173</v>
      </c>
      <c r="D44" s="15" t="s">
        <v>174</v>
      </c>
      <c r="E44" s="15" t="s">
        <v>49</v>
      </c>
      <c r="F44" s="15" t="s">
        <v>175</v>
      </c>
      <c r="G44" s="15" t="s">
        <v>50</v>
      </c>
      <c r="H44" s="15" t="s">
        <v>176</v>
      </c>
      <c r="I44" s="16"/>
      <c r="J44" s="17"/>
      <c r="K44" s="18"/>
      <c r="L44" s="19"/>
    </row>
    <row r="45" spans="1:12" ht="45.75" customHeight="1" x14ac:dyDescent="0.3">
      <c r="A45" s="24" t="s">
        <v>177</v>
      </c>
      <c r="B45" s="15" t="s">
        <v>178</v>
      </c>
      <c r="C45" s="15" t="s">
        <v>179</v>
      </c>
      <c r="D45" s="15" t="s">
        <v>180</v>
      </c>
      <c r="E45" s="15" t="s">
        <v>49</v>
      </c>
      <c r="F45" s="15" t="s">
        <v>50</v>
      </c>
      <c r="G45" s="15" t="s">
        <v>51</v>
      </c>
      <c r="H45" s="15" t="s">
        <v>181</v>
      </c>
      <c r="I45" s="16"/>
      <c r="J45" s="17"/>
      <c r="K45" s="18"/>
      <c r="L45" s="19"/>
    </row>
    <row r="46" spans="1:12" ht="45.75" customHeight="1" x14ac:dyDescent="0.3">
      <c r="A46" s="24" t="s">
        <v>177</v>
      </c>
      <c r="B46" s="15" t="s">
        <v>182</v>
      </c>
      <c r="C46" s="15" t="s">
        <v>183</v>
      </c>
      <c r="D46" s="15" t="s">
        <v>180</v>
      </c>
      <c r="E46" s="15" t="s">
        <v>49</v>
      </c>
      <c r="F46" s="15" t="s">
        <v>50</v>
      </c>
      <c r="G46" s="15" t="s">
        <v>51</v>
      </c>
      <c r="H46" s="15" t="s">
        <v>184</v>
      </c>
      <c r="I46" s="16"/>
      <c r="J46" s="17"/>
      <c r="K46" s="18"/>
      <c r="L46" s="19"/>
    </row>
    <row r="47" spans="1:12" ht="45.75" customHeight="1" x14ac:dyDescent="0.3">
      <c r="A47" s="24" t="s">
        <v>177</v>
      </c>
      <c r="B47" s="15" t="s">
        <v>185</v>
      </c>
      <c r="C47" s="15" t="s">
        <v>186</v>
      </c>
      <c r="D47" s="15" t="s">
        <v>187</v>
      </c>
      <c r="E47" s="15" t="s">
        <v>49</v>
      </c>
      <c r="F47" s="15" t="s">
        <v>50</v>
      </c>
      <c r="G47" s="15" t="s">
        <v>51</v>
      </c>
      <c r="H47" s="15" t="s">
        <v>188</v>
      </c>
      <c r="I47" s="16"/>
      <c r="J47" s="17"/>
      <c r="K47" s="18"/>
      <c r="L47" s="19"/>
    </row>
    <row r="48" spans="1:12" ht="45.75" customHeight="1" x14ac:dyDescent="0.3">
      <c r="A48" s="24" t="s">
        <v>177</v>
      </c>
      <c r="B48" s="15" t="s">
        <v>189</v>
      </c>
      <c r="C48" s="15" t="s">
        <v>190</v>
      </c>
      <c r="D48" s="15" t="s">
        <v>48</v>
      </c>
      <c r="E48" s="15" t="s">
        <v>49</v>
      </c>
      <c r="F48" s="15" t="s">
        <v>50</v>
      </c>
      <c r="G48" s="15" t="s">
        <v>51</v>
      </c>
      <c r="H48" s="15" t="s">
        <v>191</v>
      </c>
      <c r="I48" s="16"/>
      <c r="J48" s="17"/>
      <c r="K48" s="18"/>
      <c r="L48" s="19"/>
    </row>
    <row r="49" spans="1:12" ht="45.75" customHeight="1" x14ac:dyDescent="0.3">
      <c r="A49" s="24" t="s">
        <v>177</v>
      </c>
      <c r="B49" s="15" t="s">
        <v>192</v>
      </c>
      <c r="C49" s="15" t="s">
        <v>193</v>
      </c>
      <c r="D49" s="15" t="s">
        <v>48</v>
      </c>
      <c r="E49" s="15" t="s">
        <v>49</v>
      </c>
      <c r="F49" s="15" t="s">
        <v>50</v>
      </c>
      <c r="G49" s="15" t="s">
        <v>51</v>
      </c>
      <c r="H49" s="15" t="s">
        <v>194</v>
      </c>
      <c r="I49" s="16"/>
      <c r="J49" s="17"/>
      <c r="K49" s="18"/>
      <c r="L49" s="19"/>
    </row>
    <row r="50" spans="1:12" ht="45.75" customHeight="1" x14ac:dyDescent="0.3">
      <c r="A50" s="24" t="s">
        <v>177</v>
      </c>
      <c r="B50" s="15" t="s">
        <v>195</v>
      </c>
      <c r="C50" s="15" t="s">
        <v>196</v>
      </c>
      <c r="D50" s="15" t="s">
        <v>197</v>
      </c>
      <c r="E50" s="15" t="s">
        <v>49</v>
      </c>
      <c r="F50" s="15" t="s">
        <v>50</v>
      </c>
      <c r="G50" s="15" t="s">
        <v>50</v>
      </c>
      <c r="H50" s="15" t="s">
        <v>198</v>
      </c>
      <c r="I50" s="16"/>
      <c r="J50" s="17"/>
      <c r="K50" s="18"/>
      <c r="L50" s="19"/>
    </row>
    <row r="51" spans="1:12" ht="45.75" customHeight="1" x14ac:dyDescent="0.3">
      <c r="A51" s="24" t="s">
        <v>177</v>
      </c>
      <c r="B51" s="15" t="s">
        <v>199</v>
      </c>
      <c r="C51" s="15" t="s">
        <v>200</v>
      </c>
      <c r="D51" s="15" t="s">
        <v>201</v>
      </c>
      <c r="E51" s="15" t="s">
        <v>49</v>
      </c>
      <c r="F51" s="15" t="s">
        <v>202</v>
      </c>
      <c r="G51" s="15" t="s">
        <v>51</v>
      </c>
      <c r="H51" s="15" t="s">
        <v>203</v>
      </c>
      <c r="I51" s="16"/>
      <c r="J51" s="17"/>
      <c r="K51" s="18"/>
      <c r="L51" s="19"/>
    </row>
    <row r="52" spans="1:12" ht="45.75" customHeight="1" x14ac:dyDescent="0.3">
      <c r="A52" s="24" t="s">
        <v>177</v>
      </c>
      <c r="B52" s="15" t="s">
        <v>204</v>
      </c>
      <c r="C52" s="15" t="s">
        <v>205</v>
      </c>
      <c r="D52" s="15" t="s">
        <v>48</v>
      </c>
      <c r="E52" s="15" t="s">
        <v>49</v>
      </c>
      <c r="F52" s="15" t="s">
        <v>50</v>
      </c>
      <c r="G52" s="15" t="s">
        <v>51</v>
      </c>
      <c r="H52" s="15" t="s">
        <v>206</v>
      </c>
      <c r="I52" s="16"/>
      <c r="J52" s="17"/>
      <c r="K52" s="18"/>
      <c r="L52" s="19"/>
    </row>
    <row r="53" spans="1:12" ht="21.75" customHeight="1" x14ac:dyDescent="0.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6" t="s">
        <v>207</v>
      </c>
      <c r="L53" s="27">
        <f>SUMIF(I6:I52,"Sim",J6:J52)</f>
        <v>0</v>
      </c>
    </row>
  </sheetData>
  <mergeCells count="2">
    <mergeCell ref="A1:L1"/>
    <mergeCell ref="A2:L2"/>
  </mergeCells>
  <dataValidations count="2">
    <dataValidation type="list" allowBlank="1" sqref="I6:I52" xr:uid="{00000000-0002-0000-0100-000000000000}">
      <formula1>"Sim,Não,N/A"</formula1>
      <formula2>0</formula2>
    </dataValidation>
    <dataValidation type="list" allowBlank="1" sqref="K6:K52" xr:uid="{00000000-0002-0000-0100-000001000000}">
      <formula1>"Capturado,Pendente,N/A"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"/>
  <sheetViews>
    <sheetView showGridLines="0" zoomScale="55" zoomScaleNormal="55" workbookViewId="0">
      <pane ySplit="5" topLeftCell="A6" activePane="bottomLeft" state="frozen"/>
      <selection pane="bottomLeft" activeCell="K5" sqref="K5"/>
    </sheetView>
  </sheetViews>
  <sheetFormatPr defaultColWidth="8.6640625" defaultRowHeight="14.4" x14ac:dyDescent="0.3"/>
  <cols>
    <col min="1" max="1" width="36" customWidth="1"/>
    <col min="2" max="2" width="54" customWidth="1"/>
    <col min="3" max="3" width="17.6640625" customWidth="1"/>
    <col min="4" max="4" width="18.44140625" customWidth="1"/>
    <col min="5" max="5" width="22.5546875" customWidth="1"/>
    <col min="6" max="6" width="12" customWidth="1"/>
    <col min="7" max="7" width="23.33203125" customWidth="1"/>
    <col min="8" max="8" width="17" customWidth="1"/>
    <col min="9" max="9" width="19" customWidth="1"/>
    <col min="10" max="10" width="18" customWidth="1"/>
    <col min="11" max="11" width="14" customWidth="1"/>
  </cols>
  <sheetData>
    <row r="1" spans="1:11" ht="31.5" customHeight="1" x14ac:dyDescent="0.3">
      <c r="A1" s="52" t="s">
        <v>349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spans="1:11" ht="36" customHeight="1" x14ac:dyDescent="0.3">
      <c r="A2" s="53" t="s">
        <v>208</v>
      </c>
      <c r="B2" s="53"/>
      <c r="C2" s="53"/>
      <c r="D2" s="53"/>
      <c r="E2" s="53"/>
      <c r="F2" s="53"/>
      <c r="G2" s="53"/>
      <c r="H2" s="53"/>
      <c r="I2" s="53"/>
      <c r="J2" s="53"/>
      <c r="K2" s="53"/>
    </row>
    <row r="3" spans="1:11" ht="21.75" customHeight="1" x14ac:dyDescent="0.3">
      <c r="A3" s="8" t="s">
        <v>32</v>
      </c>
      <c r="B3" s="3"/>
      <c r="C3" s="8" t="s">
        <v>33</v>
      </c>
      <c r="D3" s="9">
        <f>COUNTIF(H6:H13,"Sim")</f>
        <v>0</v>
      </c>
      <c r="E3" s="8" t="s">
        <v>34</v>
      </c>
      <c r="F3" s="10">
        <f>SUMIF(H6:H13,"Sim",I6:I13)</f>
        <v>0</v>
      </c>
      <c r="G3" s="11"/>
      <c r="H3" s="11"/>
      <c r="I3" s="11"/>
      <c r="J3" s="11"/>
      <c r="K3" s="11"/>
    </row>
    <row r="4" spans="1:11" ht="6" customHeight="1" thickBot="1" x14ac:dyDescent="0.3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</row>
    <row r="5" spans="1:11" ht="31.5" customHeight="1" thickBot="1" x14ac:dyDescent="0.35">
      <c r="A5" s="13" t="s">
        <v>36</v>
      </c>
      <c r="B5" s="13" t="s">
        <v>37</v>
      </c>
      <c r="C5" s="13" t="s">
        <v>38</v>
      </c>
      <c r="D5" s="13" t="s">
        <v>348</v>
      </c>
      <c r="E5" s="13" t="s">
        <v>39</v>
      </c>
      <c r="F5" s="13" t="s">
        <v>40</v>
      </c>
      <c r="G5" s="13" t="s">
        <v>41</v>
      </c>
      <c r="H5" s="13" t="s">
        <v>42</v>
      </c>
      <c r="I5" s="13" t="s">
        <v>43</v>
      </c>
      <c r="J5" s="13" t="s">
        <v>44</v>
      </c>
      <c r="K5" s="13" t="s">
        <v>359</v>
      </c>
    </row>
    <row r="6" spans="1:11" ht="45.75" customHeight="1" x14ac:dyDescent="0.3">
      <c r="A6" s="28" t="s">
        <v>209</v>
      </c>
      <c r="B6" s="29" t="s">
        <v>210</v>
      </c>
      <c r="C6" s="29" t="s">
        <v>48</v>
      </c>
      <c r="D6" s="29" t="s">
        <v>49</v>
      </c>
      <c r="E6" s="29" t="s">
        <v>50</v>
      </c>
      <c r="F6" s="29" t="s">
        <v>51</v>
      </c>
      <c r="G6" s="29" t="s">
        <v>211</v>
      </c>
      <c r="H6" s="16"/>
      <c r="I6" s="17"/>
      <c r="J6" s="18"/>
      <c r="K6" s="19"/>
    </row>
    <row r="7" spans="1:11" ht="45.75" customHeight="1" x14ac:dyDescent="0.3">
      <c r="A7" s="30" t="s">
        <v>212</v>
      </c>
      <c r="B7" s="15" t="s">
        <v>213</v>
      </c>
      <c r="C7" s="15" t="s">
        <v>48</v>
      </c>
      <c r="D7" s="15" t="s">
        <v>49</v>
      </c>
      <c r="E7" s="15" t="s">
        <v>50</v>
      </c>
      <c r="F7" s="15" t="s">
        <v>51</v>
      </c>
      <c r="G7" s="15" t="s">
        <v>214</v>
      </c>
      <c r="H7" s="16"/>
      <c r="I7" s="17"/>
      <c r="J7" s="18"/>
      <c r="K7" s="19"/>
    </row>
    <row r="8" spans="1:11" ht="45.75" customHeight="1" x14ac:dyDescent="0.3">
      <c r="A8" s="28" t="s">
        <v>215</v>
      </c>
      <c r="B8" s="29" t="s">
        <v>216</v>
      </c>
      <c r="C8" s="29" t="s">
        <v>48</v>
      </c>
      <c r="D8" s="29" t="s">
        <v>49</v>
      </c>
      <c r="E8" s="29" t="s">
        <v>50</v>
      </c>
      <c r="F8" s="29" t="s">
        <v>51</v>
      </c>
      <c r="G8" s="29" t="s">
        <v>217</v>
      </c>
      <c r="H8" s="16"/>
      <c r="I8" s="17"/>
      <c r="J8" s="18"/>
      <c r="K8" s="19"/>
    </row>
    <row r="9" spans="1:11" ht="45.75" customHeight="1" x14ac:dyDescent="0.3">
      <c r="A9" s="30" t="s">
        <v>218</v>
      </c>
      <c r="B9" s="15" t="s">
        <v>219</v>
      </c>
      <c r="C9" s="15" t="s">
        <v>48</v>
      </c>
      <c r="D9" s="15" t="s">
        <v>49</v>
      </c>
      <c r="E9" s="15" t="s">
        <v>50</v>
      </c>
      <c r="F9" s="15" t="s">
        <v>51</v>
      </c>
      <c r="G9" s="15" t="s">
        <v>220</v>
      </c>
      <c r="H9" s="16"/>
      <c r="I9" s="17"/>
      <c r="J9" s="18"/>
      <c r="K9" s="19"/>
    </row>
    <row r="10" spans="1:11" ht="45.75" customHeight="1" x14ac:dyDescent="0.3">
      <c r="A10" s="28" t="s">
        <v>221</v>
      </c>
      <c r="B10" s="29" t="s">
        <v>222</v>
      </c>
      <c r="C10" s="29" t="s">
        <v>48</v>
      </c>
      <c r="D10" s="29" t="s">
        <v>49</v>
      </c>
      <c r="E10" s="29" t="s">
        <v>50</v>
      </c>
      <c r="F10" s="29" t="s">
        <v>51</v>
      </c>
      <c r="G10" s="29" t="s">
        <v>223</v>
      </c>
      <c r="H10" s="16"/>
      <c r="I10" s="17"/>
      <c r="J10" s="18"/>
      <c r="K10" s="19"/>
    </row>
    <row r="11" spans="1:11" ht="45.75" customHeight="1" x14ac:dyDescent="0.3">
      <c r="A11" s="30" t="s">
        <v>224</v>
      </c>
      <c r="B11" s="15" t="s">
        <v>225</v>
      </c>
      <c r="C11" s="15" t="s">
        <v>48</v>
      </c>
      <c r="D11" s="15" t="s">
        <v>49</v>
      </c>
      <c r="E11" s="15" t="s">
        <v>50</v>
      </c>
      <c r="F11" s="15" t="s">
        <v>51</v>
      </c>
      <c r="G11" s="15" t="s">
        <v>226</v>
      </c>
      <c r="H11" s="16"/>
      <c r="I11" s="17"/>
      <c r="J11" s="18"/>
      <c r="K11" s="19"/>
    </row>
    <row r="12" spans="1:11" ht="45.75" customHeight="1" x14ac:dyDescent="0.3">
      <c r="A12" s="28" t="s">
        <v>227</v>
      </c>
      <c r="B12" s="29" t="s">
        <v>228</v>
      </c>
      <c r="C12" s="29" t="s">
        <v>229</v>
      </c>
      <c r="D12" s="29" t="s">
        <v>49</v>
      </c>
      <c r="E12" s="29" t="s">
        <v>202</v>
      </c>
      <c r="F12" s="29" t="s">
        <v>51</v>
      </c>
      <c r="G12" s="29" t="s">
        <v>230</v>
      </c>
      <c r="H12" s="16"/>
      <c r="I12" s="17"/>
      <c r="J12" s="18"/>
      <c r="K12" s="19"/>
    </row>
    <row r="13" spans="1:11" ht="45.75" customHeight="1" x14ac:dyDescent="0.3">
      <c r="A13" s="30" t="s">
        <v>231</v>
      </c>
      <c r="B13" s="15" t="s">
        <v>232</v>
      </c>
      <c r="C13" s="15" t="s">
        <v>48</v>
      </c>
      <c r="D13" s="15" t="s">
        <v>49</v>
      </c>
      <c r="E13" s="15" t="s">
        <v>50</v>
      </c>
      <c r="F13" s="15" t="s">
        <v>51</v>
      </c>
      <c r="G13" s="15" t="s">
        <v>233</v>
      </c>
      <c r="H13" s="16"/>
      <c r="I13" s="17"/>
      <c r="J13" s="18"/>
      <c r="K13" s="19"/>
    </row>
    <row r="14" spans="1:11" ht="21.75" customHeight="1" x14ac:dyDescent="0.3">
      <c r="A14" s="25"/>
      <c r="B14" s="25"/>
      <c r="C14" s="25"/>
      <c r="D14" s="25"/>
      <c r="E14" s="25"/>
      <c r="F14" s="25"/>
      <c r="G14" s="25"/>
      <c r="H14" s="25"/>
      <c r="I14" s="26" t="s">
        <v>207</v>
      </c>
      <c r="J14" s="27">
        <f>SUMIF(H6:H13,"Sim",I6:I13)</f>
        <v>0</v>
      </c>
      <c r="K14" s="25"/>
    </row>
  </sheetData>
  <mergeCells count="2">
    <mergeCell ref="A1:K1"/>
    <mergeCell ref="A2:K2"/>
  </mergeCells>
  <dataValidations count="2">
    <dataValidation type="list" allowBlank="1" sqref="H6:H13" xr:uid="{00000000-0002-0000-0200-000000000000}">
      <formula1>"Sim,Não,N/A"</formula1>
      <formula2>0</formula2>
    </dataValidation>
    <dataValidation type="list" allowBlank="1" sqref="J6:J13" xr:uid="{00000000-0002-0000-0200-000001000000}">
      <formula1>"Capturado,Pendente,N/A"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4"/>
  <sheetViews>
    <sheetView showGridLines="0" zoomScale="85" zoomScaleNormal="85" workbookViewId="0">
      <pane ySplit="5" topLeftCell="A6" activePane="bottomLeft" state="frozen"/>
      <selection pane="bottomLeft" activeCell="K5" sqref="K5"/>
    </sheetView>
  </sheetViews>
  <sheetFormatPr defaultColWidth="8.6640625" defaultRowHeight="14.4" x14ac:dyDescent="0.3"/>
  <cols>
    <col min="1" max="1" width="36" customWidth="1"/>
    <col min="2" max="2" width="54" customWidth="1"/>
    <col min="3" max="3" width="20" customWidth="1"/>
    <col min="4" max="4" width="19.33203125" customWidth="1"/>
    <col min="5" max="5" width="21.5546875" customWidth="1"/>
    <col min="6" max="6" width="12" customWidth="1"/>
    <col min="7" max="7" width="19.21875" customWidth="1"/>
    <col min="8" max="8" width="22.44140625" customWidth="1"/>
    <col min="9" max="9" width="16.5546875" customWidth="1"/>
    <col min="10" max="10" width="18" customWidth="1"/>
    <col min="11" max="11" width="14" customWidth="1"/>
  </cols>
  <sheetData>
    <row r="1" spans="1:11" ht="31.5" customHeight="1" x14ac:dyDescent="0.3">
      <c r="A1" s="52" t="s">
        <v>350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spans="1:11" ht="36" customHeight="1" x14ac:dyDescent="0.3">
      <c r="A2" s="53" t="s">
        <v>351</v>
      </c>
      <c r="B2" s="53"/>
      <c r="C2" s="53"/>
      <c r="D2" s="53"/>
      <c r="E2" s="53"/>
      <c r="F2" s="53"/>
      <c r="G2" s="53"/>
      <c r="H2" s="53"/>
      <c r="I2" s="53"/>
      <c r="J2" s="53"/>
      <c r="K2" s="53"/>
    </row>
    <row r="3" spans="1:11" ht="21.75" customHeight="1" x14ac:dyDescent="0.3">
      <c r="A3" s="8" t="s">
        <v>32</v>
      </c>
      <c r="B3" s="3"/>
      <c r="C3" s="8" t="s">
        <v>33</v>
      </c>
      <c r="D3" s="9">
        <f>COUNTIF(H6:H13,"Sim")</f>
        <v>0</v>
      </c>
      <c r="E3" s="8" t="s">
        <v>34</v>
      </c>
      <c r="F3" s="10">
        <f>SUMIF(H6:H13,"Sim",I6:I13)</f>
        <v>0</v>
      </c>
      <c r="G3" s="11"/>
      <c r="H3" s="11"/>
      <c r="I3" s="11"/>
      <c r="J3" s="11"/>
      <c r="K3" s="11"/>
    </row>
    <row r="4" spans="1:11" ht="6" customHeight="1" thickBot="1" x14ac:dyDescent="0.3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</row>
    <row r="5" spans="1:11" ht="31.5" customHeight="1" thickBot="1" x14ac:dyDescent="0.35">
      <c r="A5" s="13" t="s">
        <v>36</v>
      </c>
      <c r="B5" s="13" t="s">
        <v>37</v>
      </c>
      <c r="C5" s="13" t="s">
        <v>38</v>
      </c>
      <c r="D5" s="13" t="s">
        <v>352</v>
      </c>
      <c r="E5" s="13" t="s">
        <v>39</v>
      </c>
      <c r="F5" s="13" t="s">
        <v>40</v>
      </c>
      <c r="G5" s="13" t="s">
        <v>41</v>
      </c>
      <c r="H5" s="13" t="s">
        <v>42</v>
      </c>
      <c r="I5" s="13" t="s">
        <v>43</v>
      </c>
      <c r="J5" s="13" t="s">
        <v>44</v>
      </c>
      <c r="K5" s="13" t="s">
        <v>359</v>
      </c>
    </row>
    <row r="6" spans="1:11" ht="45.75" customHeight="1" x14ac:dyDescent="0.3">
      <c r="A6" s="31" t="s">
        <v>234</v>
      </c>
      <c r="B6" s="32" t="s">
        <v>235</v>
      </c>
      <c r="C6" s="32" t="s">
        <v>48</v>
      </c>
      <c r="D6" s="32" t="s">
        <v>49</v>
      </c>
      <c r="E6" s="32" t="s">
        <v>50</v>
      </c>
      <c r="F6" s="32" t="s">
        <v>51</v>
      </c>
      <c r="G6" s="32" t="s">
        <v>236</v>
      </c>
      <c r="H6" s="16"/>
      <c r="I6" s="17"/>
      <c r="J6" s="18"/>
      <c r="K6" s="19"/>
    </row>
    <row r="7" spans="1:11" ht="45.75" customHeight="1" x14ac:dyDescent="0.3">
      <c r="A7" s="30" t="s">
        <v>237</v>
      </c>
      <c r="B7" s="15" t="s">
        <v>238</v>
      </c>
      <c r="C7" s="15" t="s">
        <v>48</v>
      </c>
      <c r="D7" s="15" t="s">
        <v>49</v>
      </c>
      <c r="E7" s="15" t="s">
        <v>50</v>
      </c>
      <c r="F7" s="15" t="s">
        <v>51</v>
      </c>
      <c r="G7" s="15" t="s">
        <v>239</v>
      </c>
      <c r="H7" s="16"/>
      <c r="I7" s="17"/>
      <c r="J7" s="18"/>
      <c r="K7" s="19"/>
    </row>
    <row r="8" spans="1:11" ht="45.75" customHeight="1" x14ac:dyDescent="0.3">
      <c r="A8" s="31" t="s">
        <v>240</v>
      </c>
      <c r="B8" s="32" t="s">
        <v>241</v>
      </c>
      <c r="C8" s="32" t="s">
        <v>48</v>
      </c>
      <c r="D8" s="32" t="s">
        <v>49</v>
      </c>
      <c r="E8" s="32" t="s">
        <v>50</v>
      </c>
      <c r="F8" s="32" t="s">
        <v>51</v>
      </c>
      <c r="G8" s="32" t="s">
        <v>242</v>
      </c>
      <c r="H8" s="16"/>
      <c r="I8" s="17"/>
      <c r="J8" s="18"/>
      <c r="K8" s="19"/>
    </row>
    <row r="9" spans="1:11" ht="45.75" customHeight="1" x14ac:dyDescent="0.3">
      <c r="A9" s="30" t="s">
        <v>243</v>
      </c>
      <c r="B9" s="15" t="s">
        <v>244</v>
      </c>
      <c r="C9" s="15" t="s">
        <v>48</v>
      </c>
      <c r="D9" s="15" t="s">
        <v>49</v>
      </c>
      <c r="E9" s="15" t="s">
        <v>50</v>
      </c>
      <c r="F9" s="15" t="s">
        <v>51</v>
      </c>
      <c r="G9" s="15" t="s">
        <v>245</v>
      </c>
      <c r="H9" s="16"/>
      <c r="I9" s="17"/>
      <c r="J9" s="18"/>
      <c r="K9" s="19"/>
    </row>
    <row r="10" spans="1:11" ht="45.75" customHeight="1" x14ac:dyDescent="0.3">
      <c r="A10" s="31" t="s">
        <v>246</v>
      </c>
      <c r="B10" s="32" t="s">
        <v>247</v>
      </c>
      <c r="C10" s="32" t="s">
        <v>79</v>
      </c>
      <c r="D10" s="32" t="s">
        <v>74</v>
      </c>
      <c r="E10" s="32" t="s">
        <v>50</v>
      </c>
      <c r="F10" s="32" t="s">
        <v>50</v>
      </c>
      <c r="G10" s="32" t="s">
        <v>248</v>
      </c>
      <c r="H10" s="16"/>
      <c r="I10" s="17"/>
      <c r="J10" s="18"/>
      <c r="K10" s="19"/>
    </row>
    <row r="11" spans="1:11" ht="45.75" customHeight="1" x14ac:dyDescent="0.3">
      <c r="A11" s="30" t="s">
        <v>249</v>
      </c>
      <c r="B11" s="15" t="s">
        <v>250</v>
      </c>
      <c r="C11" s="15" t="s">
        <v>48</v>
      </c>
      <c r="D11" s="15" t="s">
        <v>49</v>
      </c>
      <c r="E11" s="15" t="s">
        <v>50</v>
      </c>
      <c r="F11" s="15" t="s">
        <v>51</v>
      </c>
      <c r="G11" s="15" t="s">
        <v>251</v>
      </c>
      <c r="H11" s="16"/>
      <c r="I11" s="17"/>
      <c r="J11" s="18"/>
      <c r="K11" s="19"/>
    </row>
    <row r="12" spans="1:11" ht="45.75" customHeight="1" x14ac:dyDescent="0.3">
      <c r="A12" s="31" t="s">
        <v>252</v>
      </c>
      <c r="B12" s="32" t="s">
        <v>253</v>
      </c>
      <c r="C12" s="32" t="s">
        <v>48</v>
      </c>
      <c r="D12" s="32" t="s">
        <v>49</v>
      </c>
      <c r="E12" s="32" t="s">
        <v>50</v>
      </c>
      <c r="F12" s="32" t="s">
        <v>51</v>
      </c>
      <c r="G12" s="32" t="s">
        <v>254</v>
      </c>
      <c r="H12" s="16"/>
      <c r="I12" s="17"/>
      <c r="J12" s="18"/>
      <c r="K12" s="19"/>
    </row>
    <row r="13" spans="1:11" ht="45.75" customHeight="1" x14ac:dyDescent="0.3">
      <c r="A13" s="30" t="s">
        <v>255</v>
      </c>
      <c r="B13" s="15" t="s">
        <v>256</v>
      </c>
      <c r="C13" s="15" t="s">
        <v>48</v>
      </c>
      <c r="D13" s="15" t="s">
        <v>49</v>
      </c>
      <c r="E13" s="15" t="s">
        <v>50</v>
      </c>
      <c r="F13" s="15" t="s">
        <v>51</v>
      </c>
      <c r="G13" s="15" t="s">
        <v>257</v>
      </c>
      <c r="H13" s="16"/>
      <c r="I13" s="17"/>
      <c r="J13" s="18"/>
      <c r="K13" s="19"/>
    </row>
    <row r="14" spans="1:11" ht="21.75" customHeight="1" x14ac:dyDescent="0.3">
      <c r="A14" s="25"/>
      <c r="B14" s="25"/>
      <c r="C14" s="25"/>
      <c r="D14" s="25"/>
      <c r="E14" s="25"/>
      <c r="F14" s="25"/>
      <c r="G14" s="25"/>
      <c r="H14" s="25"/>
      <c r="I14" s="26" t="s">
        <v>207</v>
      </c>
      <c r="J14" s="27">
        <f>SUMIF(H6:H13,"Sim",I6:I13)</f>
        <v>0</v>
      </c>
      <c r="K14" s="25"/>
    </row>
  </sheetData>
  <mergeCells count="2">
    <mergeCell ref="A1:K1"/>
    <mergeCell ref="A2:K2"/>
  </mergeCells>
  <dataValidations count="2">
    <dataValidation type="list" allowBlank="1" sqref="H6:H13" xr:uid="{00000000-0002-0000-0300-000000000000}">
      <formula1>"Sim,Não,N/A"</formula1>
      <formula2>0</formula2>
    </dataValidation>
    <dataValidation type="list" allowBlank="1" sqref="J6:J13" xr:uid="{00000000-0002-0000-0300-000001000000}">
      <formula1>"Capturado,Pendente,N/A"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4"/>
  <sheetViews>
    <sheetView showGridLines="0" zoomScaleNormal="100" workbookViewId="0">
      <pane ySplit="5" topLeftCell="A6" activePane="bottomLeft" state="frozen"/>
      <selection pane="bottomLeft" activeCell="K5" sqref="K5"/>
    </sheetView>
  </sheetViews>
  <sheetFormatPr defaultColWidth="8.6640625" defaultRowHeight="14.4" x14ac:dyDescent="0.3"/>
  <cols>
    <col min="1" max="1" width="36" customWidth="1"/>
    <col min="2" max="2" width="54" customWidth="1"/>
    <col min="3" max="3" width="20" customWidth="1"/>
    <col min="4" max="4" width="24" customWidth="1"/>
    <col min="5" max="5" width="21" customWidth="1"/>
    <col min="6" max="6" width="12" customWidth="1"/>
    <col min="7" max="7" width="19.77734375" customWidth="1"/>
    <col min="8" max="8" width="18.44140625" customWidth="1"/>
    <col min="9" max="9" width="19.21875" customWidth="1"/>
    <col min="10" max="10" width="18" customWidth="1"/>
    <col min="11" max="11" width="14" customWidth="1"/>
  </cols>
  <sheetData>
    <row r="1" spans="1:11" ht="31.5" customHeight="1" x14ac:dyDescent="0.3">
      <c r="A1" s="52" t="s">
        <v>353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spans="1:11" ht="36" customHeight="1" x14ac:dyDescent="0.3">
      <c r="A2" s="53" t="s">
        <v>354</v>
      </c>
      <c r="B2" s="53"/>
      <c r="C2" s="53"/>
      <c r="D2" s="53"/>
      <c r="E2" s="53"/>
      <c r="F2" s="53"/>
      <c r="G2" s="53"/>
      <c r="H2" s="53"/>
      <c r="I2" s="53"/>
      <c r="J2" s="53"/>
      <c r="K2" s="53"/>
    </row>
    <row r="3" spans="1:11" ht="21.75" customHeight="1" x14ac:dyDescent="0.3">
      <c r="A3" s="8" t="s">
        <v>32</v>
      </c>
      <c r="B3" s="3"/>
      <c r="C3" s="8" t="s">
        <v>33</v>
      </c>
      <c r="D3" s="9">
        <f>COUNTIF(H6:H13,"Sim")</f>
        <v>0</v>
      </c>
      <c r="E3" s="8" t="s">
        <v>34</v>
      </c>
      <c r="F3" s="10">
        <f>SUMIF(H6:H13,"Sim",I6:I13)</f>
        <v>0</v>
      </c>
      <c r="G3" s="11"/>
      <c r="H3" s="11"/>
      <c r="I3" s="11"/>
      <c r="J3" s="11"/>
      <c r="K3" s="11"/>
    </row>
    <row r="4" spans="1:11" ht="6" customHeight="1" thickBot="1" x14ac:dyDescent="0.3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</row>
    <row r="5" spans="1:11" ht="31.5" customHeight="1" thickBot="1" x14ac:dyDescent="0.35">
      <c r="A5" s="13" t="s">
        <v>36</v>
      </c>
      <c r="B5" s="13" t="s">
        <v>37</v>
      </c>
      <c r="C5" s="13" t="s">
        <v>38</v>
      </c>
      <c r="D5" s="13" t="s">
        <v>348</v>
      </c>
      <c r="E5" s="13" t="s">
        <v>39</v>
      </c>
      <c r="F5" s="13" t="s">
        <v>40</v>
      </c>
      <c r="G5" s="13" t="s">
        <v>41</v>
      </c>
      <c r="H5" s="13" t="s">
        <v>42</v>
      </c>
      <c r="I5" s="13" t="s">
        <v>43</v>
      </c>
      <c r="J5" s="13" t="s">
        <v>44</v>
      </c>
      <c r="K5" s="13" t="s">
        <v>359</v>
      </c>
    </row>
    <row r="6" spans="1:11" ht="45.75" customHeight="1" x14ac:dyDescent="0.3">
      <c r="A6" s="33" t="s">
        <v>258</v>
      </c>
      <c r="B6" s="34" t="s">
        <v>259</v>
      </c>
      <c r="C6" s="34" t="s">
        <v>48</v>
      </c>
      <c r="D6" s="34" t="s">
        <v>49</v>
      </c>
      <c r="E6" s="34" t="s">
        <v>50</v>
      </c>
      <c r="F6" s="34" t="s">
        <v>51</v>
      </c>
      <c r="G6" s="34" t="s">
        <v>260</v>
      </c>
      <c r="H6" s="16"/>
      <c r="I6" s="17"/>
      <c r="J6" s="18"/>
      <c r="K6" s="19"/>
    </row>
    <row r="7" spans="1:11" ht="45.75" customHeight="1" x14ac:dyDescent="0.3">
      <c r="A7" s="30" t="s">
        <v>261</v>
      </c>
      <c r="B7" s="15" t="s">
        <v>262</v>
      </c>
      <c r="C7" s="15" t="s">
        <v>48</v>
      </c>
      <c r="D7" s="15" t="s">
        <v>74</v>
      </c>
      <c r="E7" s="15" t="s">
        <v>50</v>
      </c>
      <c r="F7" s="15" t="s">
        <v>51</v>
      </c>
      <c r="G7" s="15" t="s">
        <v>263</v>
      </c>
      <c r="H7" s="16"/>
      <c r="I7" s="17"/>
      <c r="J7" s="18"/>
      <c r="K7" s="19"/>
    </row>
    <row r="8" spans="1:11" ht="45.75" customHeight="1" x14ac:dyDescent="0.3">
      <c r="A8" s="33" t="s">
        <v>264</v>
      </c>
      <c r="B8" s="34" t="s">
        <v>265</v>
      </c>
      <c r="C8" s="34" t="s">
        <v>61</v>
      </c>
      <c r="D8" s="34" t="s">
        <v>74</v>
      </c>
      <c r="E8" s="34" t="s">
        <v>50</v>
      </c>
      <c r="F8" s="34" t="s">
        <v>50</v>
      </c>
      <c r="G8" s="34" t="s">
        <v>266</v>
      </c>
      <c r="H8" s="16"/>
      <c r="I8" s="17"/>
      <c r="J8" s="18"/>
      <c r="K8" s="19"/>
    </row>
    <row r="9" spans="1:11" ht="45.75" customHeight="1" x14ac:dyDescent="0.3">
      <c r="A9" s="30" t="s">
        <v>267</v>
      </c>
      <c r="B9" s="15" t="s">
        <v>268</v>
      </c>
      <c r="C9" s="15" t="s">
        <v>61</v>
      </c>
      <c r="D9" s="15" t="s">
        <v>49</v>
      </c>
      <c r="E9" s="15" t="s">
        <v>50</v>
      </c>
      <c r="F9" s="15" t="s">
        <v>50</v>
      </c>
      <c r="G9" s="15" t="s">
        <v>269</v>
      </c>
      <c r="H9" s="16"/>
      <c r="I9" s="17"/>
      <c r="J9" s="18"/>
      <c r="K9" s="19"/>
    </row>
    <row r="10" spans="1:11" ht="45.75" customHeight="1" x14ac:dyDescent="0.3">
      <c r="A10" s="33" t="s">
        <v>270</v>
      </c>
      <c r="B10" s="34" t="s">
        <v>271</v>
      </c>
      <c r="C10" s="34" t="s">
        <v>48</v>
      </c>
      <c r="D10" s="34" t="s">
        <v>49</v>
      </c>
      <c r="E10" s="34" t="s">
        <v>50</v>
      </c>
      <c r="F10" s="34" t="s">
        <v>51</v>
      </c>
      <c r="G10" s="34" t="s">
        <v>272</v>
      </c>
      <c r="H10" s="16"/>
      <c r="I10" s="17"/>
      <c r="J10" s="18"/>
      <c r="K10" s="19"/>
    </row>
    <row r="11" spans="1:11" ht="45.75" customHeight="1" x14ac:dyDescent="0.3">
      <c r="A11" s="30" t="s">
        <v>273</v>
      </c>
      <c r="B11" s="15" t="s">
        <v>274</v>
      </c>
      <c r="C11" s="15" t="s">
        <v>48</v>
      </c>
      <c r="D11" s="15" t="s">
        <v>74</v>
      </c>
      <c r="E11" s="15" t="s">
        <v>50</v>
      </c>
      <c r="F11" s="15" t="s">
        <v>51</v>
      </c>
      <c r="G11" s="15" t="s">
        <v>275</v>
      </c>
      <c r="H11" s="16"/>
      <c r="I11" s="17"/>
      <c r="J11" s="18"/>
      <c r="K11" s="19"/>
    </row>
    <row r="12" spans="1:11" ht="45.75" customHeight="1" x14ac:dyDescent="0.3">
      <c r="A12" s="33" t="s">
        <v>276</v>
      </c>
      <c r="B12" s="34" t="s">
        <v>277</v>
      </c>
      <c r="C12" s="34" t="s">
        <v>48</v>
      </c>
      <c r="D12" s="34" t="s">
        <v>49</v>
      </c>
      <c r="E12" s="34" t="s">
        <v>50</v>
      </c>
      <c r="F12" s="34" t="s">
        <v>51</v>
      </c>
      <c r="G12" s="34" t="s">
        <v>278</v>
      </c>
      <c r="H12" s="16"/>
      <c r="I12" s="17"/>
      <c r="J12" s="18"/>
      <c r="K12" s="19"/>
    </row>
    <row r="13" spans="1:11" ht="45.75" customHeight="1" x14ac:dyDescent="0.3">
      <c r="A13" s="30" t="s">
        <v>279</v>
      </c>
      <c r="B13" s="15" t="s">
        <v>280</v>
      </c>
      <c r="C13" s="15" t="s">
        <v>48</v>
      </c>
      <c r="D13" s="15" t="s">
        <v>49</v>
      </c>
      <c r="E13" s="15" t="s">
        <v>50</v>
      </c>
      <c r="F13" s="15" t="s">
        <v>51</v>
      </c>
      <c r="G13" s="15" t="s">
        <v>281</v>
      </c>
      <c r="H13" s="16"/>
      <c r="I13" s="17"/>
      <c r="J13" s="18"/>
      <c r="K13" s="19"/>
    </row>
    <row r="14" spans="1:11" ht="21.75" customHeight="1" x14ac:dyDescent="0.3">
      <c r="A14" s="25"/>
      <c r="B14" s="25"/>
      <c r="C14" s="25"/>
      <c r="D14" s="25"/>
      <c r="E14" s="25"/>
      <c r="F14" s="25"/>
      <c r="G14" s="25"/>
      <c r="H14" s="25"/>
      <c r="I14" s="26" t="s">
        <v>207</v>
      </c>
      <c r="J14" s="27">
        <f>SUMIF(H6:H13,"Sim",I6:I13)</f>
        <v>0</v>
      </c>
      <c r="K14" s="25"/>
    </row>
  </sheetData>
  <mergeCells count="2">
    <mergeCell ref="A1:K1"/>
    <mergeCell ref="A2:K2"/>
  </mergeCells>
  <dataValidations count="2">
    <dataValidation type="list" allowBlank="1" sqref="H6:H13" xr:uid="{00000000-0002-0000-0400-000000000000}">
      <formula1>"Sim,Não,N/A"</formula1>
      <formula2>0</formula2>
    </dataValidation>
    <dataValidation type="list" allowBlank="1" sqref="J6:J13" xr:uid="{00000000-0002-0000-0400-000001000000}">
      <formula1>"Capturado,Pendente,N/A"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4"/>
  <sheetViews>
    <sheetView showGridLines="0" zoomScaleNormal="100" workbookViewId="0">
      <pane ySplit="5" topLeftCell="A6" activePane="bottomLeft" state="frozen"/>
      <selection pane="bottomLeft" activeCell="K5" sqref="K5"/>
    </sheetView>
  </sheetViews>
  <sheetFormatPr defaultColWidth="8.6640625" defaultRowHeight="14.4" x14ac:dyDescent="0.3"/>
  <cols>
    <col min="1" max="1" width="36" customWidth="1"/>
    <col min="2" max="2" width="54" customWidth="1"/>
    <col min="3" max="3" width="20" customWidth="1"/>
    <col min="4" max="4" width="24" customWidth="1"/>
    <col min="5" max="5" width="18" customWidth="1"/>
    <col min="6" max="7" width="12" customWidth="1"/>
    <col min="8" max="8" width="20.44140625" customWidth="1"/>
    <col min="9" max="9" width="17.109375" customWidth="1"/>
    <col min="10" max="10" width="18" customWidth="1"/>
    <col min="11" max="11" width="14" customWidth="1"/>
  </cols>
  <sheetData>
    <row r="1" spans="1:11" ht="31.5" customHeight="1" x14ac:dyDescent="0.3">
      <c r="A1" s="52" t="s">
        <v>355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spans="1:11" ht="36" customHeight="1" x14ac:dyDescent="0.3">
      <c r="A2" s="53" t="s">
        <v>282</v>
      </c>
      <c r="B2" s="53"/>
      <c r="C2" s="53"/>
      <c r="D2" s="53"/>
      <c r="E2" s="53"/>
      <c r="F2" s="53"/>
      <c r="G2" s="53"/>
      <c r="H2" s="53"/>
      <c r="I2" s="53"/>
      <c r="J2" s="53"/>
      <c r="K2" s="53"/>
    </row>
    <row r="3" spans="1:11" ht="21.75" customHeight="1" x14ac:dyDescent="0.3">
      <c r="A3" s="8" t="s">
        <v>32</v>
      </c>
      <c r="B3" s="3"/>
      <c r="C3" s="8" t="s">
        <v>33</v>
      </c>
      <c r="D3" s="9">
        <f>COUNTIF(H6:H13,"Sim")</f>
        <v>0</v>
      </c>
      <c r="E3" s="8" t="s">
        <v>34</v>
      </c>
      <c r="F3" s="10">
        <f>SUMIF(H6:H13,"Sim",I6:I13)</f>
        <v>0</v>
      </c>
      <c r="G3" s="11"/>
      <c r="H3" s="11"/>
      <c r="I3" s="11"/>
      <c r="J3" s="11"/>
      <c r="K3" s="11"/>
    </row>
    <row r="4" spans="1:11" ht="6" customHeight="1" thickBot="1" x14ac:dyDescent="0.3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</row>
    <row r="5" spans="1:11" ht="31.5" customHeight="1" thickBot="1" x14ac:dyDescent="0.35">
      <c r="A5" s="13" t="s">
        <v>36</v>
      </c>
      <c r="B5" s="13" t="s">
        <v>37</v>
      </c>
      <c r="C5" s="13" t="s">
        <v>38</v>
      </c>
      <c r="D5" s="13" t="s">
        <v>348</v>
      </c>
      <c r="E5" s="13" t="s">
        <v>39</v>
      </c>
      <c r="F5" s="13" t="s">
        <v>40</v>
      </c>
      <c r="G5" s="13" t="s">
        <v>41</v>
      </c>
      <c r="H5" s="13" t="s">
        <v>42</v>
      </c>
      <c r="I5" s="13" t="s">
        <v>43</v>
      </c>
      <c r="J5" s="13" t="s">
        <v>44</v>
      </c>
      <c r="K5" s="13" t="s">
        <v>359</v>
      </c>
    </row>
    <row r="6" spans="1:11" ht="45.75" customHeight="1" x14ac:dyDescent="0.3">
      <c r="A6" s="35" t="s">
        <v>283</v>
      </c>
      <c r="B6" s="36" t="s">
        <v>284</v>
      </c>
      <c r="C6" s="36" t="s">
        <v>48</v>
      </c>
      <c r="D6" s="36" t="s">
        <v>49</v>
      </c>
      <c r="E6" s="36" t="s">
        <v>50</v>
      </c>
      <c r="F6" s="36" t="s">
        <v>51</v>
      </c>
      <c r="G6" s="36" t="s">
        <v>285</v>
      </c>
      <c r="H6" s="16"/>
      <c r="I6" s="17"/>
      <c r="J6" s="18"/>
      <c r="K6" s="19"/>
    </row>
    <row r="7" spans="1:11" ht="45.75" customHeight="1" x14ac:dyDescent="0.3">
      <c r="A7" s="30" t="s">
        <v>286</v>
      </c>
      <c r="B7" s="15" t="s">
        <v>287</v>
      </c>
      <c r="C7" s="15" t="s">
        <v>48</v>
      </c>
      <c r="D7" s="15" t="s">
        <v>49</v>
      </c>
      <c r="E7" s="15" t="s">
        <v>50</v>
      </c>
      <c r="F7" s="15" t="s">
        <v>51</v>
      </c>
      <c r="G7" s="15" t="s">
        <v>288</v>
      </c>
      <c r="H7" s="16"/>
      <c r="I7" s="17"/>
      <c r="J7" s="18"/>
      <c r="K7" s="19"/>
    </row>
    <row r="8" spans="1:11" ht="45.75" customHeight="1" x14ac:dyDescent="0.3">
      <c r="A8" s="35" t="s">
        <v>289</v>
      </c>
      <c r="B8" s="36" t="s">
        <v>290</v>
      </c>
      <c r="C8" s="36" t="s">
        <v>48</v>
      </c>
      <c r="D8" s="36" t="s">
        <v>49</v>
      </c>
      <c r="E8" s="36" t="s">
        <v>50</v>
      </c>
      <c r="F8" s="36" t="s">
        <v>51</v>
      </c>
      <c r="G8" s="36" t="s">
        <v>291</v>
      </c>
      <c r="H8" s="16"/>
      <c r="I8" s="17"/>
      <c r="J8" s="18"/>
      <c r="K8" s="19"/>
    </row>
    <row r="9" spans="1:11" ht="45.75" customHeight="1" x14ac:dyDescent="0.3">
      <c r="A9" s="30" t="s">
        <v>292</v>
      </c>
      <c r="B9" s="15" t="s">
        <v>293</v>
      </c>
      <c r="C9" s="15" t="s">
        <v>48</v>
      </c>
      <c r="D9" s="15" t="s">
        <v>49</v>
      </c>
      <c r="E9" s="15" t="s">
        <v>50</v>
      </c>
      <c r="F9" s="15" t="s">
        <v>51</v>
      </c>
      <c r="G9" s="15" t="s">
        <v>294</v>
      </c>
      <c r="H9" s="16"/>
      <c r="I9" s="17"/>
      <c r="J9" s="18"/>
      <c r="K9" s="19"/>
    </row>
    <row r="10" spans="1:11" ht="45.75" customHeight="1" x14ac:dyDescent="0.3">
      <c r="A10" s="35" t="s">
        <v>295</v>
      </c>
      <c r="B10" s="36" t="s">
        <v>296</v>
      </c>
      <c r="C10" s="36" t="s">
        <v>48</v>
      </c>
      <c r="D10" s="36" t="s">
        <v>49</v>
      </c>
      <c r="E10" s="36" t="s">
        <v>50</v>
      </c>
      <c r="F10" s="36" t="s">
        <v>51</v>
      </c>
      <c r="G10" s="36" t="s">
        <v>297</v>
      </c>
      <c r="H10" s="16"/>
      <c r="I10" s="17"/>
      <c r="J10" s="18"/>
      <c r="K10" s="19"/>
    </row>
    <row r="11" spans="1:11" ht="45.75" customHeight="1" x14ac:dyDescent="0.3">
      <c r="A11" s="30" t="s">
        <v>298</v>
      </c>
      <c r="B11" s="15" t="s">
        <v>299</v>
      </c>
      <c r="C11" s="15" t="s">
        <v>48</v>
      </c>
      <c r="D11" s="15" t="s">
        <v>49</v>
      </c>
      <c r="E11" s="15" t="s">
        <v>50</v>
      </c>
      <c r="F11" s="15" t="s">
        <v>51</v>
      </c>
      <c r="G11" s="15" t="s">
        <v>300</v>
      </c>
      <c r="H11" s="16"/>
      <c r="I11" s="17"/>
      <c r="J11" s="18"/>
      <c r="K11" s="19"/>
    </row>
    <row r="12" spans="1:11" ht="45.75" customHeight="1" x14ac:dyDescent="0.3">
      <c r="A12" s="35" t="s">
        <v>301</v>
      </c>
      <c r="B12" s="36" t="s">
        <v>302</v>
      </c>
      <c r="C12" s="36" t="s">
        <v>61</v>
      </c>
      <c r="D12" s="36" t="s">
        <v>49</v>
      </c>
      <c r="E12" s="36" t="s">
        <v>146</v>
      </c>
      <c r="F12" s="36" t="s">
        <v>50</v>
      </c>
      <c r="G12" s="36" t="s">
        <v>303</v>
      </c>
      <c r="H12" s="16"/>
      <c r="I12" s="17"/>
      <c r="J12" s="18"/>
      <c r="K12" s="19"/>
    </row>
    <row r="13" spans="1:11" ht="45.75" customHeight="1" x14ac:dyDescent="0.3">
      <c r="A13" s="30" t="s">
        <v>304</v>
      </c>
      <c r="B13" s="15" t="s">
        <v>305</v>
      </c>
      <c r="C13" s="15" t="s">
        <v>48</v>
      </c>
      <c r="D13" s="15" t="s">
        <v>49</v>
      </c>
      <c r="E13" s="15" t="s">
        <v>50</v>
      </c>
      <c r="F13" s="15" t="s">
        <v>51</v>
      </c>
      <c r="G13" s="15" t="s">
        <v>306</v>
      </c>
      <c r="H13" s="16"/>
      <c r="I13" s="17"/>
      <c r="J13" s="18"/>
      <c r="K13" s="19"/>
    </row>
    <row r="14" spans="1:11" ht="21.75" customHeight="1" x14ac:dyDescent="0.3">
      <c r="A14" s="25"/>
      <c r="B14" s="25"/>
      <c r="C14" s="25"/>
      <c r="D14" s="25"/>
      <c r="E14" s="25"/>
      <c r="F14" s="25"/>
      <c r="G14" s="25"/>
      <c r="H14" s="25"/>
      <c r="I14" s="26" t="s">
        <v>207</v>
      </c>
      <c r="J14" s="27">
        <f>SUMIF(H6:H13,"Sim",I6:I13)</f>
        <v>0</v>
      </c>
      <c r="K14" s="25"/>
    </row>
  </sheetData>
  <mergeCells count="2">
    <mergeCell ref="A1:K1"/>
    <mergeCell ref="A2:K2"/>
  </mergeCells>
  <dataValidations count="2">
    <dataValidation type="list" allowBlank="1" sqref="H6:H13" xr:uid="{00000000-0002-0000-0500-000000000000}">
      <formula1>"Sim,Não,N/A"</formula1>
      <formula2>0</formula2>
    </dataValidation>
    <dataValidation type="list" allowBlank="1" sqref="J6:J13" xr:uid="{00000000-0002-0000-0500-000001000000}">
      <formula1>"Capturado,Pendente,N/A"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4"/>
  <sheetViews>
    <sheetView showGridLines="0" zoomScaleNormal="100" workbookViewId="0">
      <pane ySplit="5" topLeftCell="A6" activePane="bottomLeft" state="frozen"/>
      <selection pane="bottomLeft" activeCell="K5" sqref="K5"/>
    </sheetView>
  </sheetViews>
  <sheetFormatPr defaultColWidth="8.6640625" defaultRowHeight="14.4" x14ac:dyDescent="0.3"/>
  <cols>
    <col min="1" max="1" width="36" customWidth="1"/>
    <col min="2" max="2" width="40.6640625" customWidth="1"/>
    <col min="3" max="3" width="17.44140625" customWidth="1"/>
    <col min="4" max="4" width="14.44140625" customWidth="1"/>
    <col min="5" max="5" width="18.6640625" customWidth="1"/>
    <col min="6" max="6" width="12" customWidth="1"/>
    <col min="7" max="7" width="18.109375" customWidth="1"/>
    <col min="8" max="8" width="12.6640625" customWidth="1"/>
    <col min="9" max="9" width="19.109375" customWidth="1"/>
    <col min="10" max="10" width="18" customWidth="1"/>
    <col min="11" max="11" width="14" customWidth="1"/>
  </cols>
  <sheetData>
    <row r="1" spans="1:11" ht="31.5" customHeight="1" x14ac:dyDescent="0.3">
      <c r="A1" s="52" t="s">
        <v>356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spans="1:11" ht="36" customHeight="1" x14ac:dyDescent="0.3">
      <c r="A2" s="53" t="s">
        <v>307</v>
      </c>
      <c r="B2" s="53"/>
      <c r="C2" s="53"/>
      <c r="D2" s="53"/>
      <c r="E2" s="53"/>
      <c r="F2" s="53"/>
      <c r="G2" s="53"/>
      <c r="H2" s="53"/>
      <c r="I2" s="53"/>
      <c r="J2" s="53"/>
      <c r="K2" s="53"/>
    </row>
    <row r="3" spans="1:11" ht="21.75" customHeight="1" x14ac:dyDescent="0.3">
      <c r="A3" s="8" t="s">
        <v>32</v>
      </c>
      <c r="B3" s="3"/>
      <c r="C3" s="8" t="s">
        <v>33</v>
      </c>
      <c r="D3" s="9">
        <f>COUNTIF(H6:H13,"Sim")</f>
        <v>0</v>
      </c>
      <c r="E3" s="8" t="s">
        <v>34</v>
      </c>
      <c r="F3" s="10">
        <f>SUMIF(H6:H13,"Sim",I6:I13)</f>
        <v>0</v>
      </c>
      <c r="G3" s="11"/>
      <c r="H3" s="11"/>
      <c r="I3" s="11"/>
      <c r="J3" s="11"/>
      <c r="K3" s="11"/>
    </row>
    <row r="4" spans="1:11" ht="6" customHeight="1" thickBot="1" x14ac:dyDescent="0.3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</row>
    <row r="5" spans="1:11" ht="31.5" customHeight="1" thickBot="1" x14ac:dyDescent="0.35">
      <c r="A5" s="13" t="s">
        <v>36</v>
      </c>
      <c r="B5" s="13" t="s">
        <v>37</v>
      </c>
      <c r="C5" s="13" t="s">
        <v>38</v>
      </c>
      <c r="D5" s="13" t="s">
        <v>348</v>
      </c>
      <c r="E5" s="13" t="s">
        <v>39</v>
      </c>
      <c r="F5" s="13" t="s">
        <v>40</v>
      </c>
      <c r="G5" s="13" t="s">
        <v>41</v>
      </c>
      <c r="H5" s="13" t="s">
        <v>42</v>
      </c>
      <c r="I5" s="13" t="s">
        <v>43</v>
      </c>
      <c r="J5" s="13" t="s">
        <v>44</v>
      </c>
      <c r="K5" s="13" t="s">
        <v>359</v>
      </c>
    </row>
    <row r="6" spans="1:11" ht="45.75" customHeight="1" x14ac:dyDescent="0.3">
      <c r="A6" s="37" t="s">
        <v>308</v>
      </c>
      <c r="B6" s="38" t="s">
        <v>309</v>
      </c>
      <c r="C6" s="38" t="s">
        <v>48</v>
      </c>
      <c r="D6" s="38" t="s">
        <v>49</v>
      </c>
      <c r="E6" s="38" t="s">
        <v>50</v>
      </c>
      <c r="F6" s="38" t="s">
        <v>51</v>
      </c>
      <c r="G6" s="38" t="s">
        <v>310</v>
      </c>
      <c r="H6" s="16"/>
      <c r="I6" s="17"/>
      <c r="J6" s="18"/>
      <c r="K6" s="19"/>
    </row>
    <row r="7" spans="1:11" ht="45.75" customHeight="1" x14ac:dyDescent="0.3">
      <c r="A7" s="30" t="s">
        <v>311</v>
      </c>
      <c r="B7" s="15" t="s">
        <v>312</v>
      </c>
      <c r="C7" s="15" t="s">
        <v>48</v>
      </c>
      <c r="D7" s="15" t="s">
        <v>49</v>
      </c>
      <c r="E7" s="15" t="s">
        <v>50</v>
      </c>
      <c r="F7" s="15" t="s">
        <v>51</v>
      </c>
      <c r="G7" s="15" t="s">
        <v>313</v>
      </c>
      <c r="H7" s="16"/>
      <c r="I7" s="17"/>
      <c r="J7" s="18"/>
      <c r="K7" s="19"/>
    </row>
    <row r="8" spans="1:11" ht="45.75" customHeight="1" x14ac:dyDescent="0.3">
      <c r="A8" s="37" t="s">
        <v>314</v>
      </c>
      <c r="B8" s="38" t="s">
        <v>315</v>
      </c>
      <c r="C8" s="38" t="s">
        <v>48</v>
      </c>
      <c r="D8" s="38" t="s">
        <v>49</v>
      </c>
      <c r="E8" s="38" t="s">
        <v>50</v>
      </c>
      <c r="F8" s="38" t="s">
        <v>51</v>
      </c>
      <c r="G8" s="38" t="s">
        <v>316</v>
      </c>
      <c r="H8" s="16"/>
      <c r="I8" s="17"/>
      <c r="J8" s="18"/>
      <c r="K8" s="19"/>
    </row>
    <row r="9" spans="1:11" ht="45.75" customHeight="1" x14ac:dyDescent="0.3">
      <c r="A9" s="30" t="s">
        <v>317</v>
      </c>
      <c r="B9" s="15" t="s">
        <v>318</v>
      </c>
      <c r="C9" s="15" t="s">
        <v>48</v>
      </c>
      <c r="D9" s="15" t="s">
        <v>49</v>
      </c>
      <c r="E9" s="15" t="s">
        <v>50</v>
      </c>
      <c r="F9" s="15" t="s">
        <v>51</v>
      </c>
      <c r="G9" s="15" t="s">
        <v>319</v>
      </c>
      <c r="H9" s="16"/>
      <c r="I9" s="17"/>
      <c r="J9" s="18"/>
      <c r="K9" s="19"/>
    </row>
    <row r="10" spans="1:11" ht="45.75" customHeight="1" x14ac:dyDescent="0.3">
      <c r="A10" s="37" t="s">
        <v>320</v>
      </c>
      <c r="B10" s="38" t="s">
        <v>321</v>
      </c>
      <c r="C10" s="38" t="s">
        <v>48</v>
      </c>
      <c r="D10" s="38" t="s">
        <v>49</v>
      </c>
      <c r="E10" s="38" t="s">
        <v>50</v>
      </c>
      <c r="F10" s="38" t="s">
        <v>51</v>
      </c>
      <c r="G10" s="38" t="s">
        <v>322</v>
      </c>
      <c r="H10" s="16"/>
      <c r="I10" s="17"/>
      <c r="J10" s="18"/>
      <c r="K10" s="19"/>
    </row>
    <row r="11" spans="1:11" ht="45.75" customHeight="1" x14ac:dyDescent="0.3">
      <c r="A11" s="30" t="s">
        <v>323</v>
      </c>
      <c r="B11" s="15" t="s">
        <v>324</v>
      </c>
      <c r="C11" s="15" t="s">
        <v>48</v>
      </c>
      <c r="D11" s="15" t="s">
        <v>49</v>
      </c>
      <c r="E11" s="15" t="s">
        <v>50</v>
      </c>
      <c r="F11" s="15" t="s">
        <v>51</v>
      </c>
      <c r="G11" s="15" t="s">
        <v>325</v>
      </c>
      <c r="H11" s="16"/>
      <c r="I11" s="17"/>
      <c r="J11" s="18"/>
      <c r="K11" s="19"/>
    </row>
    <row r="12" spans="1:11" ht="45.75" customHeight="1" x14ac:dyDescent="0.3">
      <c r="A12" s="37" t="s">
        <v>326</v>
      </c>
      <c r="B12" s="38" t="s">
        <v>327</v>
      </c>
      <c r="C12" s="38" t="s">
        <v>229</v>
      </c>
      <c r="D12" s="38" t="s">
        <v>49</v>
      </c>
      <c r="E12" s="38" t="s">
        <v>50</v>
      </c>
      <c r="F12" s="38" t="s">
        <v>51</v>
      </c>
      <c r="G12" s="38" t="s">
        <v>328</v>
      </c>
      <c r="H12" s="16"/>
      <c r="I12" s="17"/>
      <c r="J12" s="18"/>
      <c r="K12" s="19"/>
    </row>
    <row r="13" spans="1:11" ht="45.75" customHeight="1" x14ac:dyDescent="0.3">
      <c r="A13" s="30" t="s">
        <v>329</v>
      </c>
      <c r="B13" s="15" t="s">
        <v>330</v>
      </c>
      <c r="C13" s="15" t="s">
        <v>48</v>
      </c>
      <c r="D13" s="15" t="s">
        <v>49</v>
      </c>
      <c r="E13" s="15" t="s">
        <v>50</v>
      </c>
      <c r="F13" s="15" t="s">
        <v>51</v>
      </c>
      <c r="G13" s="15" t="s">
        <v>331</v>
      </c>
      <c r="H13" s="16"/>
      <c r="I13" s="17"/>
      <c r="J13" s="18"/>
      <c r="K13" s="19"/>
    </row>
    <row r="14" spans="1:11" ht="21.75" customHeight="1" x14ac:dyDescent="0.3">
      <c r="A14" s="25"/>
      <c r="B14" s="25"/>
      <c r="C14" s="25"/>
      <c r="D14" s="25"/>
      <c r="E14" s="25"/>
      <c r="F14" s="25"/>
      <c r="G14" s="25"/>
      <c r="H14" s="25"/>
      <c r="I14" s="26" t="s">
        <v>207</v>
      </c>
      <c r="J14" s="27">
        <f>SUMIF(H6:H13,"Sim",I6:I13)</f>
        <v>0</v>
      </c>
      <c r="K14" s="25"/>
    </row>
  </sheetData>
  <mergeCells count="2">
    <mergeCell ref="A1:K1"/>
    <mergeCell ref="A2:K2"/>
  </mergeCells>
  <dataValidations count="2">
    <dataValidation type="list" allowBlank="1" sqref="H6:H13" xr:uid="{00000000-0002-0000-0600-000000000000}">
      <formula1>"Sim,Não,N/A"</formula1>
      <formula2>0</formula2>
    </dataValidation>
    <dataValidation type="list" allowBlank="1" sqref="J6:J13" xr:uid="{00000000-0002-0000-0600-000001000000}">
      <formula1>"Capturado,Pendente,N/A"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Instruções</vt:lpstr>
      <vt:lpstr>Matriz</vt:lpstr>
      <vt:lpstr>Educação</vt:lpstr>
      <vt:lpstr>Saúde</vt:lpstr>
      <vt:lpstr>Transportes-Rodovias</vt:lpstr>
      <vt:lpstr>Segurança-Prisional</vt:lpstr>
      <vt:lpstr>Edificações-FM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Dias Pereira;Jefferson Douglas dos Santos Passos</dc:creator>
  <dc:description/>
  <cp:lastModifiedBy>Bruno Dias Pereira</cp:lastModifiedBy>
  <cp:revision>0</cp:revision>
  <dcterms:created xsi:type="dcterms:W3CDTF">2026-04-06T19:31:17Z</dcterms:created>
  <dcterms:modified xsi:type="dcterms:W3CDTF">2026-05-07T15:21:38Z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c0926b-a436-4c88-b8c0-5877261a3f6f_Enabled">
    <vt:lpwstr>true</vt:lpwstr>
  </property>
  <property fmtid="{D5CDD505-2E9C-101B-9397-08002B2CF9AE}" pid="3" name="MSIP_Label_7dc0926b-a436-4c88-b8c0-5877261a3f6f_SetDate">
    <vt:lpwstr>2026-04-06T19:47:37Z</vt:lpwstr>
  </property>
  <property fmtid="{D5CDD505-2E9C-101B-9397-08002B2CF9AE}" pid="4" name="MSIP_Label_7dc0926b-a436-4c88-b8c0-5877261a3f6f_Method">
    <vt:lpwstr>Standard</vt:lpwstr>
  </property>
  <property fmtid="{D5CDD505-2E9C-101B-9397-08002B2CF9AE}" pid="5" name="MSIP_Label_7dc0926b-a436-4c88-b8c0-5877261a3f6f_Name">
    <vt:lpwstr>None</vt:lpwstr>
  </property>
  <property fmtid="{D5CDD505-2E9C-101B-9397-08002B2CF9AE}" pid="6" name="MSIP_Label_7dc0926b-a436-4c88-b8c0-5877261a3f6f_SiteId">
    <vt:lpwstr>83bd090b-756e-4a02-a512-e5ea02c03041</vt:lpwstr>
  </property>
  <property fmtid="{D5CDD505-2E9C-101B-9397-08002B2CF9AE}" pid="7" name="MSIP_Label_7dc0926b-a436-4c88-b8c0-5877261a3f6f_ActionId">
    <vt:lpwstr>d5578f85-3fa8-495b-82ff-a361a24c5d00</vt:lpwstr>
  </property>
  <property fmtid="{D5CDD505-2E9C-101B-9397-08002B2CF9AE}" pid="8" name="MSIP_Label_7dc0926b-a436-4c88-b8c0-5877261a3f6f_ContentBits">
    <vt:lpwstr>0</vt:lpwstr>
  </property>
  <property fmtid="{D5CDD505-2E9C-101B-9397-08002B2CF9AE}" pid="9" name="MSIP_Label_7dc0926b-a436-4c88-b8c0-5877261a3f6f_Tag">
    <vt:lpwstr>10, 3, 0, 1</vt:lpwstr>
  </property>
</Properties>
</file>